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66925"/>
  <mc:AlternateContent xmlns:mc="http://schemas.openxmlformats.org/markup-compatibility/2006">
    <mc:Choice Requires="x15">
      <x15ac:absPath xmlns:x15ac="http://schemas.microsoft.com/office/spreadsheetml/2010/11/ac" url="C:\Users\Kabir Jain\Desktop\Final Finance Projects this sem\"/>
    </mc:Choice>
  </mc:AlternateContent>
  <xr:revisionPtr revIDLastSave="0" documentId="13_ncr:1_{8E5D8479-C1D1-466B-BDE9-952FC2B4E5D2}" xr6:coauthVersionLast="47" xr6:coauthVersionMax="47" xr10:uidLastSave="{00000000-0000-0000-0000-000000000000}"/>
  <bookViews>
    <workbookView xWindow="-96" yWindow="-96" windowWidth="17472" windowHeight="10272" tabRatio="797" xr2:uid="{713D05B4-93F6-46F8-9DCD-9A468275B3B2}"/>
  </bookViews>
  <sheets>
    <sheet name="Group Details_FM009" sheetId="1" r:id="rId1"/>
    <sheet name="Navigation Table" sheetId="6" r:id="rId2"/>
    <sheet name="Executive Summary" sheetId="5" r:id="rId3"/>
    <sheet name="Part 1 - Corporate Governance" sheetId="2" r:id="rId4"/>
    <sheet name="Part 2 - IPO Analysis" sheetId="3" r:id="rId5"/>
    <sheet name="Part 3 - Financial Management" sheetId="4" r:id="rId6"/>
    <sheet name="All Reference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2" i="9" l="1"/>
  <c r="B41" i="9"/>
  <c r="B40" i="9"/>
  <c r="B38" i="9"/>
  <c r="B37" i="9"/>
  <c r="B36" i="9"/>
  <c r="B39" i="9"/>
  <c r="B32" i="9"/>
  <c r="B31" i="9"/>
  <c r="B30" i="9"/>
  <c r="B14" i="9"/>
  <c r="B13" i="9"/>
  <c r="B12" i="9"/>
  <c r="C245" i="4"/>
  <c r="B235" i="4"/>
  <c r="C235" i="4"/>
  <c r="D199" i="4"/>
  <c r="D193" i="4"/>
  <c r="D194" i="4" s="1"/>
  <c r="D188" i="4"/>
  <c r="A193" i="4"/>
  <c r="B157" i="4"/>
  <c r="D75" i="4"/>
  <c r="C75" i="4"/>
  <c r="B75" i="4"/>
  <c r="D74" i="4"/>
  <c r="C74" i="4"/>
  <c r="B74" i="4"/>
  <c r="H38" i="9"/>
  <c r="H40" i="9" s="1"/>
  <c r="G38" i="9"/>
  <c r="F38" i="9"/>
  <c r="F40" i="9" s="1"/>
  <c r="H60" i="9"/>
  <c r="G60" i="9"/>
  <c r="F60" i="9"/>
  <c r="H48" i="9"/>
  <c r="G48" i="9"/>
  <c r="F48" i="9"/>
  <c r="H31" i="9"/>
  <c r="G31" i="9"/>
  <c r="F31" i="9"/>
  <c r="H21" i="9"/>
  <c r="G21" i="9"/>
  <c r="F21" i="9"/>
  <c r="G32" i="9" l="1"/>
  <c r="H32" i="9"/>
  <c r="H62" i="9"/>
  <c r="F62" i="9"/>
  <c r="F32" i="9"/>
  <c r="G40" i="9"/>
  <c r="G62" i="9" s="1"/>
  <c r="D195" i="4"/>
  <c r="C204" i="4" s="1"/>
  <c r="C76" i="4"/>
  <c r="D76" i="4"/>
  <c r="B76" i="4"/>
  <c r="B25" i="9"/>
  <c r="B19" i="9"/>
  <c r="B18" i="9"/>
  <c r="B24" i="9"/>
  <c r="B20" i="9"/>
  <c r="B22" i="9"/>
  <c r="B23" i="9"/>
  <c r="B8" i="3"/>
  <c r="B9" i="3" s="1"/>
  <c r="B11" i="9"/>
  <c r="B8" i="9"/>
  <c r="B7" i="9"/>
  <c r="B6" i="9"/>
  <c r="B34" i="9"/>
  <c r="B35" i="9"/>
  <c r="B33" i="9"/>
  <c r="B21" i="9"/>
  <c r="B10" i="9"/>
  <c r="B9" i="9"/>
  <c r="B5" i="9"/>
  <c r="B40" i="2"/>
  <c r="C40" i="2" s="1"/>
  <c r="C38" i="2" l="1"/>
  <c r="C37" i="2"/>
  <c r="C39" i="2"/>
</calcChain>
</file>

<file path=xl/sharedStrings.xml><?xml version="1.0" encoding="utf-8"?>
<sst xmlns="http://schemas.openxmlformats.org/spreadsheetml/2006/main" count="478" uniqueCount="382">
  <si>
    <t>Name</t>
  </si>
  <si>
    <t>BITS ID</t>
  </si>
  <si>
    <t>ADITI SHARMA</t>
  </si>
  <si>
    <t>ARYAN TALWAR</t>
  </si>
  <si>
    <t>KABIR SANJAY JAIN</t>
  </si>
  <si>
    <t>RISHI SOMANI</t>
  </si>
  <si>
    <t>NAMAN SAGTANI</t>
  </si>
  <si>
    <t>2023A1PS0184P</t>
  </si>
  <si>
    <t>2023A8PS1308P</t>
  </si>
  <si>
    <t>2023A7PS0542P</t>
  </si>
  <si>
    <t>2023A1PS0212P</t>
  </si>
  <si>
    <t>2023A5PS1183P</t>
  </si>
  <si>
    <t>Issue Price</t>
  </si>
  <si>
    <t>Closing price on the first day of listing</t>
  </si>
  <si>
    <t>Gain/Loss (in %)</t>
  </si>
  <si>
    <t>Lead Underwriter</t>
  </si>
  <si>
    <t>Reason for IPO</t>
  </si>
  <si>
    <t>Age of the firm at the time of the IPO</t>
  </si>
  <si>
    <t>Amount mobilised (in ₹) during the IPO</t>
  </si>
  <si>
    <t>Group Number - FM009</t>
  </si>
  <si>
    <t>November, 2025</t>
  </si>
  <si>
    <t>Navigation Table</t>
  </si>
  <si>
    <t>Topic</t>
  </si>
  <si>
    <t>Executive Summary</t>
  </si>
  <si>
    <t>Corporate Governance</t>
  </si>
  <si>
    <t>IPO Analysis</t>
  </si>
  <si>
    <t>Financial Management</t>
  </si>
  <si>
    <t>Section PI - Corporate Governance</t>
  </si>
  <si>
    <t>Section P2 - IPO Analysis</t>
  </si>
  <si>
    <t>Section P3 - Financial Management</t>
  </si>
  <si>
    <t>Company Overview</t>
  </si>
  <si>
    <t>Board Structure</t>
  </si>
  <si>
    <t>Executive Directors</t>
  </si>
  <si>
    <t>Director Profiles</t>
  </si>
  <si>
    <t>Qualifications</t>
  </si>
  <si>
    <t>Governance &amp; Lawsuits</t>
  </si>
  <si>
    <t>Auditor Details</t>
  </si>
  <si>
    <t>Name of the Audit firm</t>
  </si>
  <si>
    <t>Information Asymmetry</t>
  </si>
  <si>
    <t>Company overview</t>
  </si>
  <si>
    <t>Board structure</t>
  </si>
  <si>
    <t>Director profiles</t>
  </si>
  <si>
    <t>Go to sub-topic</t>
  </si>
  <si>
    <t>First-day Gain/Loss</t>
  </si>
  <si>
    <t>Listing Price</t>
  </si>
  <si>
    <t>CAPEX Analysis</t>
  </si>
  <si>
    <t>Working Capital</t>
  </si>
  <si>
    <t>Capital Structure</t>
  </si>
  <si>
    <t>WACC</t>
  </si>
  <si>
    <t>Intrinsic Valuation (DCF)</t>
  </si>
  <si>
    <t>All References</t>
  </si>
  <si>
    <t>For P2 - IPO Analysis</t>
  </si>
  <si>
    <t>For P1 - Corporate Governance</t>
  </si>
  <si>
    <t>Reference Sheet</t>
  </si>
  <si>
    <t>Category</t>
  </si>
  <si>
    <t>#</t>
  </si>
  <si>
    <t>Non-Executive Independent Directors</t>
  </si>
  <si>
    <t>Total Board Size</t>
  </si>
  <si>
    <t>% of the total board</t>
  </si>
  <si>
    <t>Position/Designation</t>
  </si>
  <si>
    <t>Executive/Non-Executive</t>
  </si>
  <si>
    <t>Independent?</t>
  </si>
  <si>
    <t>Gender</t>
  </si>
  <si>
    <t>Date of Appointment</t>
  </si>
  <si>
    <t>Key Committees</t>
  </si>
  <si>
    <t>Independent Director</t>
  </si>
  <si>
    <t>Non-Executive</t>
  </si>
  <si>
    <t>M</t>
  </si>
  <si>
    <t>F</t>
  </si>
  <si>
    <t>Particulars</t>
  </si>
  <si>
    <t>CapEx Analysis</t>
  </si>
  <si>
    <t>Intrinsic Valuation</t>
  </si>
  <si>
    <t>Age</t>
  </si>
  <si>
    <t>Check References</t>
  </si>
  <si>
    <r>
      <t xml:space="preserve">Board Composition </t>
    </r>
    <r>
      <rPr>
        <sz val="11"/>
        <color theme="1"/>
        <rFont val="Calibri"/>
        <family val="2"/>
        <scheme val="minor"/>
      </rPr>
      <t>(</t>
    </r>
    <r>
      <rPr>
        <i/>
        <sz val="11"/>
        <color theme="1"/>
        <rFont val="Calibri"/>
        <family val="2"/>
        <scheme val="minor"/>
      </rPr>
      <t>Pls refer to visuals on the right)</t>
    </r>
  </si>
  <si>
    <t>Board Structure &amp; Director Profiles</t>
  </si>
  <si>
    <t>Lawsuits filed against the company</t>
  </si>
  <si>
    <t>Current Liabilities</t>
  </si>
  <si>
    <t>Non-Current Liabilities</t>
  </si>
  <si>
    <t>Total Equity</t>
  </si>
  <si>
    <t>Equity</t>
  </si>
  <si>
    <t>TOTAL ASSETS</t>
  </si>
  <si>
    <t>a) Inventories</t>
  </si>
  <si>
    <t>Current Assets</t>
  </si>
  <si>
    <t>a) Property, Plant and Equipment</t>
  </si>
  <si>
    <t>Non-Current Assets</t>
  </si>
  <si>
    <t>Part of the Balance sheet needed for Working Capital</t>
  </si>
  <si>
    <t>(For viewing complete balance sheet, check references at the end of this section)</t>
  </si>
  <si>
    <t>Calculating Working Capital over the years</t>
  </si>
  <si>
    <t>Major Components of Working Capital in FY 25</t>
  </si>
  <si>
    <t>Calculating the Cost of Capital using CAPM</t>
  </si>
  <si>
    <t>Cost of capital = Cost of equity + cost of debt</t>
  </si>
  <si>
    <t>Calculating intrinsic valuation using DCF model</t>
  </si>
  <si>
    <t>Corporate Governance, IPO Evaluation &amp; Financial Management Analysis: Avenue Supermarts Ltd.</t>
  </si>
  <si>
    <t>PART 1 - CORPORATE GOVERNANCE OF AVENUE SUPERMARTS LTD.</t>
  </si>
  <si>
    <t>Non-Executive Non-Independent Directors</t>
  </si>
  <si>
    <t>Chandrashekhar Bhaskar Bhave</t>
  </si>
  <si>
    <t>Kalpana Vasantrai Unadkat</t>
  </si>
  <si>
    <t>Harishchandra Meghraj Bharuka</t>
  </si>
  <si>
    <t>Manjri Aditya Chandak</t>
  </si>
  <si>
    <t>Ignatius Navil Noronha</t>
  </si>
  <si>
    <t>Ramakant Kanhaiyalal Baheti</t>
  </si>
  <si>
    <t>Elvin Elias Machado</t>
  </si>
  <si>
    <t>Narayanan (N) Bhaskaran</t>
  </si>
  <si>
    <t>Non executive Chairman</t>
  </si>
  <si>
    <t>Managing Director &amp; CEO</t>
  </si>
  <si>
    <t>Whole-time Director &amp; Group CFO</t>
  </si>
  <si>
    <t>Whole-time Director - Business Development</t>
  </si>
  <si>
    <t>Whole-time Director &amp; COO (Retail)</t>
  </si>
  <si>
    <t>Non-Executive (Non-independent)</t>
  </si>
  <si>
    <t>Executive</t>
  </si>
  <si>
    <t>YES</t>
  </si>
  <si>
    <t>NO</t>
  </si>
  <si>
    <t>Part 2 - IPO Analysis of AVENUE SUPERMARTS LTD.</t>
  </si>
  <si>
    <t>Part 3 - Financial Management of AVENUE SUPERMARTS LTD.</t>
  </si>
  <si>
    <r>
      <rPr>
        <b/>
        <sz val="11"/>
        <color theme="1"/>
        <rFont val="Calibri"/>
        <family val="2"/>
        <scheme val="minor"/>
      </rPr>
      <t>Board Committees at Avenue Supermarts Ltd:</t>
    </r>
    <r>
      <rPr>
        <sz val="11"/>
        <color theme="1"/>
        <rFont val="Calibri"/>
        <family val="2"/>
        <scheme val="minor"/>
      </rPr>
      <t xml:space="preserve"> Audit Committee, Nomination &amp; Remuneration Committee, Stakeholder Relationship Committee, Corporate Social Responsibility Committee &amp; Risk Management Committee,</t>
    </r>
  </si>
  <si>
    <t>Audit, NRC, CSR</t>
  </si>
  <si>
    <t>Audit, NRC, Stakeholder relationship, risk management</t>
  </si>
  <si>
    <t>NA</t>
  </si>
  <si>
    <t>Audit, NRC, Stakeholder relationship, CSR, risk management</t>
  </si>
  <si>
    <t>risk management committee</t>
  </si>
  <si>
    <t>stakeholder relationship, CSR and risk management committee</t>
  </si>
  <si>
    <t>B.E. (Electrical Engineering), Jabalpur Engineering College</t>
  </si>
  <si>
    <t>Former IAS officer; Senior Executive Director at SEBI (1992–1996); Chairman &amp; MD, NSDL (1996–2008); Chairman, SEBI (2008–2011); Member of IOSCO committees; Trustee at IFRS Foundation; Chairman of IIHS; Board member of multiple financial institutions.</t>
  </si>
  <si>
    <t>Capital markets regulation, governance, audit oversight, policy, public administration, risk management</t>
  </si>
  <si>
    <t>Solicitor (Bombay Incorporated Law Society); Solicitor (Law Society, England &amp; Wales)</t>
  </si>
  <si>
    <t>Corporate governance, mergers &amp; acquisitions, legal compliance, board effectiveness</t>
  </si>
  <si>
    <t>B.Com (University of Mumbai); Member, Institute of Cost &amp; Works Accountants of India (ICWAI)</t>
  </si>
  <si>
    <t>41+ years of experience; MD, Kansai Nerolac Paints for 20+ years; Served on boards of Kansai Paint (Japan) &amp; Kansai Plascon (South Africa); Multiple leadership awards including Lifetime Achievement (IPA 2023).</t>
  </si>
  <si>
    <t>Board leadership, ESG, audit, risk management, strategy, operations, global governance</t>
  </si>
  <si>
    <t>B.Com – HR College, Mumbai; Masters in Finance &amp; Investments – University of Nottingham (specialisation in Retail Marketing)</t>
  </si>
  <si>
    <t>16+ years in retail operations, buying, merchandising; Director in multiple Damani-group/retail companies (Avenue E-Commerce, Reflect Healthcare, Bombay Store group companies, etc.).</t>
  </si>
  <si>
    <t>Retail operations, merchandising, promoter representation, business strategy</t>
  </si>
  <si>
    <t>B.Sc – S.I.E.S. College, Mumbai; PG in Marketing Management – NMIMS, Mumbai</t>
  </si>
  <si>
    <t>Several years in FMCG &amp; modern trade; 8 years at Hindustan Unilever (Market Research, Sales, Modern Trade); Joined DMart in 2004; Key architect of DMart’s operating model; Director in Avenue E-Commerce &amp; retail subsidiaries.</t>
  </si>
  <si>
    <t>Retail growth strategy, merchandising, store operations, execution excellence</t>
  </si>
  <si>
    <t>Chartered Accountant (ICAI); B.Com – Maharshi Dayanand Saraswati University, Ajmer</t>
  </si>
  <si>
    <t>27+ years experience; With DMart since inception; Director in multiple promoter-group real estate &amp; retail entities.</t>
  </si>
  <si>
    <t>Corporate finance, financial controls, capital allocation, risk management</t>
  </si>
  <si>
    <t>B.Com – Univ. of Madras; PG – Human Resource Management (XLRI Jamshedpur); Advanced Program in Supply Chain Management (IIM Calcutta); Associate Member – ICSI</t>
  </si>
  <si>
    <t>30+ years experience in HR, supply chain, corporate secretarial &amp; operations; Joined DMart in 2008; Built staples business and SCM function; Now heads retail operations.</t>
  </si>
  <si>
    <t>Retail operations, supply chain, HR leadership, compliance</t>
  </si>
  <si>
    <t>B.A. Economics – St. Xavier’s College; M.A. (Part I) – Mumbai University</t>
  </si>
  <si>
    <t>17 years with DMart; Earlier 18 years with Hindustan Unilever (Trade Marketing, Sales &amp; Operations); Joined DMart in 2007; Now part of central leadership team for Business Development &amp; Projects.</t>
  </si>
  <si>
    <t>FMCG sales, trade marketing, retail development, store expansion</t>
  </si>
  <si>
    <t>(All information is as of the year ended Mar-2025)</t>
  </si>
  <si>
    <t>Non-executive Director</t>
  </si>
  <si>
    <t>Past Experience</t>
  </si>
  <si>
    <t>20 years experience in Corporate Law, M&amp;A, Governance; Board advisor; Led corporate governance workshops training 300+ directors; Co-author of “Women on Board”; Director at Eris Lifesciences &amp; TVS Credit Services.</t>
  </si>
  <si>
    <t>Competence/Skills</t>
  </si>
  <si>
    <t>S R B C &amp; Co. LLP, Chartered Accountants (Firm Reg No. 324982E/E300003)</t>
  </si>
  <si>
    <t>Year / Date</t>
  </si>
  <si>
    <t>Case Name / Reference</t>
  </si>
  <si>
    <t>Type of Litigation</t>
  </si>
  <si>
    <t>Summary of Allegation / Matter</t>
  </si>
  <si>
    <t>Outcome / Status</t>
  </si>
  <si>
    <t>Impact / Significance</t>
  </si>
  <si>
    <t>Trademark / IP Dispute</t>
  </si>
  <si>
    <t>Dolphin Mart alleged that DMart’s mark “DMART / D-MART” infringed its trademark “d’Mart”.</t>
  </si>
  <si>
    <t>Consumer Protection</t>
  </si>
  <si>
    <t>Consumer Commission ruled against DMart; refund + compensation ordered.</t>
  </si>
  <si>
    <t>Notice by Surat District Consumer Disputes Redressal Commission (Gujarat)</t>
  </si>
  <si>
    <t>Consumer Product / Labeling</t>
  </si>
  <si>
    <t>Municipal / Land-Use Dispute</t>
  </si>
  <si>
    <t>DMart challenged municipal notices under Sections 238 &amp; 239 of BBMP Act relating to land-use/permission issues for a Bengaluru store.</t>
  </si>
  <si>
    <t>Matter heard in Karnataka High Court; proceedings ongoing/partially resolved depending on each writ petition.</t>
  </si>
  <si>
    <t>2019–2023</t>
  </si>
  <si>
    <t>Complaint regarding incorrect billing / misrepresentation of item description and bag charges.</t>
  </si>
  <si>
    <t>District Consumer Commission passed an order (details not publicly exhaustive).</t>
  </si>
  <si>
    <r>
      <t>Dolphin Mart Pvt. Ltd. vs Avenue Supermarts Ltd &amp; Anr</t>
    </r>
    <r>
      <rPr>
        <sz val="11"/>
        <color theme="1"/>
        <rFont val="Calibri"/>
        <family val="2"/>
        <scheme val="minor"/>
      </rPr>
      <t xml:space="preserve"> (CS(COMM) 177/2017)</t>
    </r>
  </si>
  <si>
    <r>
      <t xml:space="preserve">Delhi High Court dismissed the case; held </t>
    </r>
    <r>
      <rPr>
        <sz val="11"/>
        <color theme="1"/>
        <rFont val="Calibri"/>
        <family val="2"/>
        <scheme val="minor"/>
      </rPr>
      <t>no deceptive similarity, DMart did not infringe.</t>
    </r>
  </si>
  <si>
    <r>
      <t xml:space="preserve">Important brand-protection litigation. Outcome was </t>
    </r>
    <r>
      <rPr>
        <sz val="11"/>
        <color theme="1"/>
        <rFont val="Calibri"/>
        <family val="2"/>
        <scheme val="minor"/>
      </rPr>
      <t>favourable to DMart, strengthening its brand identity.</t>
    </r>
  </si>
  <si>
    <r>
      <t>Baglekar Akash Kumar vs Avenue Supermarts Ltd</t>
    </r>
    <r>
      <rPr>
        <sz val="11"/>
        <color theme="1"/>
        <rFont val="Calibri"/>
        <family val="2"/>
        <scheme val="minor"/>
      </rPr>
      <t xml:space="preserve"> (CC/239/2019)</t>
    </r>
  </si>
  <si>
    <r>
      <t xml:space="preserve">Complaint that DMart charged ₹3.50 for a branded plastic carry bag—alleged </t>
    </r>
    <r>
      <rPr>
        <sz val="11"/>
        <color theme="1"/>
        <rFont val="Calibri"/>
        <family val="2"/>
        <scheme val="minor"/>
      </rPr>
      <t>unfair trade practice.</t>
    </r>
  </si>
  <si>
    <r>
      <t xml:space="preserve">Minor financial impact, but highlights </t>
    </r>
    <r>
      <rPr>
        <sz val="11"/>
        <color theme="1"/>
        <rFont val="Calibri"/>
        <family val="2"/>
        <scheme val="minor"/>
      </rPr>
      <t>retail-level consumer risk and the need for transparent pricing.</t>
    </r>
  </si>
  <si>
    <r>
      <t xml:space="preserve">Complaint alleging incorrect or misleading </t>
    </r>
    <r>
      <rPr>
        <sz val="11"/>
        <color theme="1"/>
        <rFont val="Calibri"/>
        <family val="2"/>
        <scheme val="minor"/>
      </rPr>
      <t>manufacture/expiry date on a product sold by DMart.</t>
    </r>
  </si>
  <si>
    <r>
      <t xml:space="preserve">Commission imposed a total penalty of </t>
    </r>
    <r>
      <rPr>
        <sz val="11"/>
        <color theme="1"/>
        <rFont val="Calibri"/>
        <family val="2"/>
        <scheme val="minor"/>
      </rPr>
      <t>₹1,55,000 (₹150,000 to Consumer Welfare Fund + ₹5,000 to complainant).</t>
    </r>
  </si>
  <si>
    <r>
      <t xml:space="preserve">Shows operational/quality-control risk at store level; </t>
    </r>
    <r>
      <rPr>
        <sz val="11"/>
        <color theme="1"/>
        <rFont val="Calibri"/>
        <family val="2"/>
        <scheme val="minor"/>
      </rPr>
      <t>non-material to overall financials.</t>
    </r>
  </si>
  <si>
    <r>
      <t>Avenue Supermarts Ltd vs Bruhat Bengaluru Mahanagara Palike (BBMP)</t>
    </r>
    <r>
      <rPr>
        <sz val="11"/>
        <color theme="1"/>
        <rFont val="Calibri"/>
        <family val="2"/>
        <scheme val="minor"/>
      </rPr>
      <t xml:space="preserve"> — (WP No. 3728/2022 &amp; connected petitions)</t>
    </r>
  </si>
  <si>
    <r>
      <t xml:space="preserve">Significant because it relates to </t>
    </r>
    <r>
      <rPr>
        <sz val="11"/>
        <color theme="1"/>
        <rFont val="Calibri"/>
        <family val="2"/>
        <scheme val="minor"/>
      </rPr>
      <t>store expansion and regulatory compliance. Typical for pan-India retail operations.</t>
    </r>
  </si>
  <si>
    <r>
      <t>Mohammed Mohsin vs Avenue Supermarts Ltd</t>
    </r>
    <r>
      <rPr>
        <sz val="11"/>
        <color theme="1"/>
        <rFont val="Calibri"/>
        <family val="2"/>
        <scheme val="minor"/>
      </rPr>
      <t xml:space="preserve"> (CC/533/2019)</t>
    </r>
  </si>
  <si>
    <r>
      <t xml:space="preserve">Low monetary value but evidence of </t>
    </r>
    <r>
      <rPr>
        <sz val="11"/>
        <color theme="1"/>
        <rFont val="Calibri"/>
        <family val="2"/>
        <scheme val="minor"/>
      </rPr>
      <t>routine consumer disputes seen in retail industry.</t>
    </r>
  </si>
  <si>
    <t>2022-2023</t>
  </si>
  <si>
    <t>Date of the IPO/ Listing date</t>
  </si>
  <si>
    <t>Did it show IPO underpricing? (Yes/No)</t>
  </si>
  <si>
    <t>Bidding window started in early March 2017. Shares were listed on 21st March 2017.</t>
  </si>
  <si>
    <t>The IPO price band was ₹295-₹299 per share, and the final issue price was fixed at ₹299 per share (upper end of the band). This was the price at which retail investors applied and at which the company issued fresh shares to the public.</t>
  </si>
  <si>
    <t>YES - since the opening/closing price was substantially higher than the issue price, this represents significant IPO underpricing i.e., the shares were priced well below what the public was willing to pay on listing day, causing a very large initial gain for subscribers who received allotment.</t>
  </si>
  <si>
    <t>The IPO was managed by a syndicate of book-running lead managers and coordinators. Axis Capital Limited acted as Global Coordinator, and Kotak Mahindra Capital Company Limited was a principal Book Running Lead Manager (BRLM). Other major BRLMs and syndicate members included HDFC Bank, ICICI Securities, JM Financial, Edelweiss, among others listed in the prospectus. These banks handled book building, anchor placement, underwriting/marketing and regulatory filings.</t>
  </si>
  <si>
    <t>The Avenue Supermarts IPO was a 100% Fresh Issue (New Issue). The IPO size was entirely a fresh issue to raise capital for the company, there was no Offer for Sale (OFS) component. In percentage terms: Fresh Issue 100% / OFS 0%. Because it was a fresh issue (and not a secondary sale by promoters / early investors), the proceeds went to the company for corporate uses (not to selling shareholders).</t>
  </si>
  <si>
    <r>
      <t>Avenue Supermarts was incorporated on 12 May 2000. At the IPO listing in March 2017, the company was therefore about</t>
    </r>
    <r>
      <rPr>
        <b/>
        <sz val="11"/>
        <color theme="1"/>
        <rFont val="Calibri"/>
        <family val="2"/>
        <scheme val="minor"/>
      </rPr>
      <t xml:space="preserve"> 17 years </t>
    </r>
    <r>
      <rPr>
        <sz val="11"/>
        <color theme="1"/>
        <rFont val="Calibri"/>
        <family val="2"/>
        <scheme val="minor"/>
      </rPr>
      <t>old since incorporation. If using the date of first store opening as a start point, the retail operations were established in the early 2000s, giving the company a multi-year operating track record before the IPO.</t>
    </r>
  </si>
  <si>
    <r>
      <t xml:space="preserve">The IPO raised </t>
    </r>
    <r>
      <rPr>
        <b/>
        <sz val="11"/>
        <color theme="1"/>
        <rFont val="Calibri"/>
        <family val="2"/>
        <scheme val="minor"/>
      </rPr>
      <t>₹1,870 crore</t>
    </r>
    <r>
      <rPr>
        <sz val="11"/>
        <color theme="1"/>
        <rFont val="Calibri"/>
        <family val="2"/>
        <scheme val="minor"/>
      </rPr>
      <t xml:space="preserve"> via the fresh issue.</t>
    </r>
  </si>
  <si>
    <t>% Holdings</t>
  </si>
  <si>
    <t>Promoters</t>
  </si>
  <si>
    <t>FII</t>
  </si>
  <si>
    <t>DII</t>
  </si>
  <si>
    <t>Public</t>
  </si>
  <si>
    <t>Summary of current shareholding pattern (as of 30th Sept 2025)</t>
  </si>
  <si>
    <t>d) Investment Properties</t>
  </si>
  <si>
    <t>All values are in ₹ crores, unless otherwise stated</t>
  </si>
  <si>
    <t>Working Capital = Current Assets - Current Liabilities</t>
  </si>
  <si>
    <t>All values are in ₹ crores</t>
  </si>
  <si>
    <t>FY '25</t>
  </si>
  <si>
    <t>FY '24</t>
  </si>
  <si>
    <t>FY '23</t>
  </si>
  <si>
    <t>Total Current Assets</t>
  </si>
  <si>
    <t>Total Current Liabilities</t>
  </si>
  <si>
    <t>Provisions</t>
  </si>
  <si>
    <t>e) Goodwill</t>
  </si>
  <si>
    <t>Analysis of capital structure (quarter-wise)</t>
  </si>
  <si>
    <t>As at 31st Mar 2025</t>
  </si>
  <si>
    <t>As at 31st Mar 2024</t>
  </si>
  <si>
    <t>Equity Share Capital (₹ Cr.)</t>
  </si>
  <si>
    <t>Other Equity (₹ Cr.)</t>
  </si>
  <si>
    <t>Total Equity (₹ Cr.)</t>
  </si>
  <si>
    <t>Non-Current Lease Liabilities</t>
  </si>
  <si>
    <t>Other Non-Current Fin. Liab.</t>
  </si>
  <si>
    <t>Deferred Tax Liabilities (net)</t>
  </si>
  <si>
    <t>Total Non-Current Liabilities</t>
  </si>
  <si>
    <t>Current Lease Liabilities</t>
  </si>
  <si>
    <t>Trade Payables (Micro &amp; Small)</t>
  </si>
  <si>
    <t>Trade Payables (Others)</t>
  </si>
  <si>
    <t>Other Current Fin. Liabilities</t>
  </si>
  <si>
    <t>Other Current Liabilities</t>
  </si>
  <si>
    <t>Current Tax Liabilities (Net)</t>
  </si>
  <si>
    <t>Total Equity &amp; Liabilities</t>
  </si>
  <si>
    <t>As at 30th September 2024</t>
  </si>
  <si>
    <t>TOTAL EQUITY AND LIABILITIES</t>
  </si>
  <si>
    <t>d) Current Tax Liabilities (Net)</t>
  </si>
  <si>
    <t>c) Provisions</t>
  </si>
  <si>
    <t>b) Other Current Liabilities</t>
  </si>
  <si>
    <t xml:space="preserve">  a.iii) Other Current Financial Liabilities</t>
  </si>
  <si>
    <t xml:space="preserve">    Other than Micro and Small Enterprises</t>
  </si>
  <si>
    <t xml:space="preserve">    Micro and Small Enterprises</t>
  </si>
  <si>
    <t xml:space="preserve">  a.ii) Trade Payables:</t>
  </si>
  <si>
    <t xml:space="preserve">  a.i) Lease Liabilities</t>
  </si>
  <si>
    <t>a) Financial Liabilities:</t>
  </si>
  <si>
    <t>c) Deferred Tax Liabilities (Net)</t>
  </si>
  <si>
    <t>b) Provisions</t>
  </si>
  <si>
    <t xml:space="preserve">  a.ii) Other Non-Current Financial Liabilities</t>
  </si>
  <si>
    <t>d) Non-Controlling Interest</t>
  </si>
  <si>
    <t>c) Equity Attributable to Equity Holders of the Company</t>
  </si>
  <si>
    <t>b) Other Equity</t>
  </si>
  <si>
    <t>a) Equity Share Capital</t>
  </si>
  <si>
    <t>II. EQUITY AND LIABILITIES</t>
  </si>
  <si>
    <t>c) Other Current Assets</t>
  </si>
  <si>
    <t xml:space="preserve">  b.v) Other Current Financial Assets</t>
  </si>
  <si>
    <t xml:space="preserve">  b.iii) Cash and Cash Equivalents</t>
  </si>
  <si>
    <t xml:space="preserve">  b.ii) Trade Receivables</t>
  </si>
  <si>
    <t xml:space="preserve">  b.i) Investments</t>
  </si>
  <si>
    <t>b) Financial Assets:</t>
  </si>
  <si>
    <t>Total Non-Current Assets</t>
  </si>
  <si>
    <t>j) Other Non-Current Assets</t>
  </si>
  <si>
    <t>i) Deferred Tax Assets (Net)</t>
  </si>
  <si>
    <t>h) Income Tax Assets (Net)</t>
  </si>
  <si>
    <t xml:space="preserve">  g.ii) Other Non-Current Financial Assets</t>
  </si>
  <si>
    <t xml:space="preserve">  g.i) Investments</t>
  </si>
  <si>
    <t>g) Financial Assets:</t>
  </si>
  <si>
    <t>f) Intangible Assets</t>
  </si>
  <si>
    <t>c) Right of Use Assets</t>
  </si>
  <si>
    <t>b) Capital Work-in-Progress</t>
  </si>
  <si>
    <t>I. ASSETS</t>
  </si>
  <si>
    <t>As at 31 Mar 2023</t>
  </si>
  <si>
    <t>As at 31 Mar 2024</t>
  </si>
  <si>
    <t>As at 31 Mar 2025</t>
  </si>
  <si>
    <t xml:space="preserve">  b.iv) Bank Balances (Other than Cash and Cash eq.)</t>
  </si>
  <si>
    <t>Last 3 yrs' consolidated balance sheet (audited) of Avenue Supermarts Ltd.</t>
  </si>
  <si>
    <t>Ratio</t>
  </si>
  <si>
    <t>FY25</t>
  </si>
  <si>
    <t>FY24</t>
  </si>
  <si>
    <t>Interpretation</t>
  </si>
  <si>
    <t>FY 2025 (₹ Cr.)</t>
  </si>
  <si>
    <t>FY 2024 (₹ Cr.)</t>
  </si>
  <si>
    <t>Change (₹ Cr.)</t>
  </si>
  <si>
    <t>Change (%)</t>
  </si>
  <si>
    <t>Purchase of PPE, Intangibles, and CWIP</t>
  </si>
  <si>
    <t>Operating Cash Flow</t>
  </si>
  <si>
    <t>Capex as % of OCF</t>
  </si>
  <si>
    <t>Capex as % of Sales (Standalone)</t>
  </si>
  <si>
    <t>Capex spend summary</t>
  </si>
  <si>
    <t>Major fixed assets additions</t>
  </si>
  <si>
    <t>Asset Category</t>
  </si>
  <si>
    <t>Nature</t>
  </si>
  <si>
    <t>Property, Plant &amp; Equipment</t>
  </si>
  <si>
    <t>22.4% ↑</t>
  </si>
  <si>
    <t>Capital Work-in-Progress (CWIP)</t>
  </si>
  <si>
    <t>17.3% ↑</t>
  </si>
  <si>
    <t>Right-of-Use Assets (Lease ROU)</t>
  </si>
  <si>
    <t>14.7% ↑</t>
  </si>
  <si>
    <t>Intangible Assets</t>
  </si>
  <si>
    <t>30.2% ↑</t>
  </si>
  <si>
    <t>20.7% ↑</t>
  </si>
  <si>
    <t>Debt/Equity (bank &amp; market debt only)</t>
  </si>
  <si>
    <t>Virtually debt‑free; no term or WC loans.</t>
  </si>
  <si>
    <t>Adjusted debt/Equity (including lease liabilities)</t>
  </si>
  <si>
    <t>~0.03x</t>
  </si>
  <si>
    <t>~0.02x</t>
  </si>
  <si>
    <t>Very conservative leverage; only lease obligations.</t>
  </si>
  <si>
    <t>Interest coverage (EBIT/Finance cost)</t>
  </si>
  <si>
    <t>~53–54x</t>
  </si>
  <si>
    <t>~60x</t>
  </si>
  <si>
    <t>Interest easily covered; reflects negligible financial risk.</t>
  </si>
  <si>
    <t>Current ratio (CA/CL)</t>
  </si>
  <si>
    <t>Strong liquidity; no need for bank WC lines.</t>
  </si>
  <si>
    <t>Negligible</t>
  </si>
  <si>
    <t>Cost of Equity = Rf + B(Rm-Rf)</t>
  </si>
  <si>
    <t>Calculating WACC using market-value based approach</t>
  </si>
  <si>
    <t>Inputs required:</t>
  </si>
  <si>
    <t>Equity risk premium</t>
  </si>
  <si>
    <t>Therefore, using the CAPM model, cost of equity turns out to be:</t>
  </si>
  <si>
    <t>Beta = 1.0</t>
  </si>
  <si>
    <t>Risk free rate (as per G-secs for 10Y)</t>
  </si>
  <si>
    <t>CAPM model approach for WACC</t>
  </si>
  <si>
    <t>Non-current lease liabilities</t>
  </si>
  <si>
    <t>Total lease "debt" D</t>
  </si>
  <si>
    <t>current lease liab.</t>
  </si>
  <si>
    <t>E</t>
  </si>
  <si>
    <t>Current share price</t>
  </si>
  <si>
    <t>Total outstanding shares</t>
  </si>
  <si>
    <t>Pre-tax cost of debt</t>
  </si>
  <si>
    <t xml:space="preserve">Tax rate </t>
  </si>
  <si>
    <t>Calculating WACC</t>
  </si>
  <si>
    <t>ke (using CAPM)</t>
  </si>
  <si>
    <t>After tax cost of debt (kd)</t>
  </si>
  <si>
    <t>Weight of equity (we)</t>
  </si>
  <si>
    <t>Weight of debt (wd)</t>
  </si>
  <si>
    <t>FCFF = EBIT × (1 − Tax rate) + Depreciation &amp; Amortisation − Net Capex − ΔWorking Capital</t>
  </si>
  <si>
    <t>Particulars (Standalone, ₹ Cr.)</t>
  </si>
  <si>
    <t>FY 2025</t>
  </si>
  <si>
    <t>FY 2024</t>
  </si>
  <si>
    <t>Profit before tax (PBT)</t>
  </si>
  <si>
    <t>Finance costs</t>
  </si>
  <si>
    <t>EBIT (PBT + Finance costs)</t>
  </si>
  <si>
    <t>Assumed tax rate</t>
  </si>
  <si>
    <t>NOPAT = EBIT × (1 − T)</t>
  </si>
  <si>
    <t>Depreciation &amp; amortisation</t>
  </si>
  <si>
    <t>Net Capex (PPE, intangibles, CWIP, IP)</t>
  </si>
  <si>
    <t>Working capital (end of year)</t>
  </si>
  <si>
    <t>Change in working capital (ΔWC)</t>
  </si>
  <si>
    <t>FCFF = NOPAT + Depreciation − Capex − ΔWC</t>
  </si>
  <si>
    <t>Finding the intrinsic valuation (DCF)</t>
  </si>
  <si>
    <t>Base FCFF is ₹424.03 cr.</t>
  </si>
  <si>
    <t>FCFF growth rate =</t>
  </si>
  <si>
    <t>terminal growth rate</t>
  </si>
  <si>
    <t>Year</t>
  </si>
  <si>
    <t>FCFF (₹ Cr.)</t>
  </si>
  <si>
    <t>Discount factor 1/(1+WACC)^t</t>
  </si>
  <si>
    <t>Present value (₹ Cr.)</t>
  </si>
  <si>
    <t>Item</t>
  </si>
  <si>
    <t>Formula / Description</t>
  </si>
  <si>
    <t>Value (₹ Cr.)</t>
  </si>
  <si>
    <t>Year 3 FCFF</t>
  </si>
  <si>
    <t>From FCFF forecast</t>
  </si>
  <si>
    <t>Terminal growth rate (g)</t>
  </si>
  <si>
    <t>Assumed long‑term growth</t>
  </si>
  <si>
    <t>From WACC table</t>
  </si>
  <si>
    <t>(WACC − g)</t>
  </si>
  <si>
    <t>11.6% − 5.0%</t>
  </si>
  <si>
    <t>Terminal value at end of Year 3 (TV)</t>
  </si>
  <si>
    <t>TV = FCFF3 × (1+g) / (WACC − g)</t>
  </si>
  <si>
    <t>Discount factor for Year 3</t>
  </si>
  <si>
    <t>DF3 = 1 / (1 + WACC)^3</t>
  </si>
  <si>
    <t>Present value of TV</t>
  </si>
  <si>
    <t>PV(TV) = TV × DF3</t>
  </si>
  <si>
    <t>Present value of FCFF in Year 1</t>
  </si>
  <si>
    <t>FCFF1 = 474.91; DF1 = 1 / (1+WACC)^1; PV1 = 474.91 × 0.896</t>
  </si>
  <si>
    <t>Present value of FCFF in Year 2</t>
  </si>
  <si>
    <t>FCFF2 = 531.90; DF2 = 1 / (1+WACC)^2; PV2 = 531.90 × 0.803</t>
  </si>
  <si>
    <t>Present value of FCFF in Year 3</t>
  </si>
  <si>
    <t>FCFF3 = 595.73; PV3 = 595.73 × 0.720</t>
  </si>
  <si>
    <t>Enterprise value (EV)</t>
  </si>
  <si>
    <t>EV = PV1 + PV2 + PV3 + PV(TV)</t>
  </si>
  <si>
    <t>Less: Lease debt (D)</t>
  </si>
  <si>
    <t>Total lease liabilities (current + non‑current)</t>
  </si>
  <si>
    <t>Equity value</t>
  </si>
  <si>
    <t>EV − D</t>
  </si>
  <si>
    <t>Shares outstanding (million)</t>
  </si>
  <si>
    <t>Given</t>
  </si>
  <si>
    <t>Intrinsic value per share (₹)</t>
  </si>
  <si>
    <t>Equity value / Shares</t>
  </si>
  <si>
    <r>
      <rPr>
        <b/>
        <sz val="10"/>
        <rFont val="Arial"/>
        <family val="2"/>
      </rPr>
      <t>NOTE:</t>
    </r>
    <r>
      <rPr>
        <sz val="10"/>
        <rFont val="Arial"/>
        <family val="2"/>
      </rPr>
      <t xml:space="preserve"> In India, listed companies are not required to publish a full "Statement of Assets and Liabilities" (Balance Sheet) for the first quarter (June) or the third quarter (December).</t>
    </r>
  </si>
  <si>
    <t>For P3 - Financial Management of Avenue Supermarts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</si>
</sst>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 #,##0.00;[Red]&quot;₹&quot;\ \-#,##0.00"/>
    <numFmt numFmtId="44" formatCode="_ &quot;₹&quot;\ * #,##0.00_ ;_ &quot;₹&quot;\ * \-#,##0.00_ ;_ &quot;₹&quot;\ * &quot;-&quot;??_ ;_ @_ "/>
    <numFmt numFmtId="43" formatCode="_ * #,##0.00_ ;_ * \-#,##0.00_ ;_ * &quot;-&quot;??_ ;_ @_ "/>
    <numFmt numFmtId="164" formatCode="0.000"/>
    <numFmt numFmtId="165" formatCode="0.00000%"/>
    <numFmt numFmtId="166" formatCode="0.000%"/>
  </numFmts>
  <fonts count="25" x14ac:knownFonts="1">
    <font>
      <sz val="11"/>
      <color theme="1"/>
      <name val="Calibri"/>
      <family val="2"/>
      <scheme val="minor"/>
    </font>
    <font>
      <b/>
      <sz val="11"/>
      <color theme="1"/>
      <name val="Calibri"/>
      <family val="2"/>
      <scheme val="minor"/>
    </font>
    <font>
      <b/>
      <i/>
      <sz val="11"/>
      <color theme="1"/>
      <name val="Calibri"/>
      <family val="2"/>
      <scheme val="minor"/>
    </font>
    <font>
      <sz val="10"/>
      <color rgb="FF000000"/>
      <name val="Calibri"/>
      <family val="2"/>
      <scheme val="minor"/>
    </font>
    <font>
      <i/>
      <sz val="11"/>
      <color theme="1"/>
      <name val="Calibri"/>
      <family val="2"/>
      <scheme val="minor"/>
    </font>
    <font>
      <b/>
      <sz val="16"/>
      <color theme="0"/>
      <name val="Calibri"/>
      <family val="2"/>
      <scheme val="minor"/>
    </font>
    <font>
      <b/>
      <sz val="12"/>
      <name val="Calibri"/>
      <family val="2"/>
      <scheme val="minor"/>
    </font>
    <font>
      <b/>
      <i/>
      <sz val="12"/>
      <name val="Calibri"/>
      <family val="2"/>
      <scheme val="minor"/>
    </font>
    <font>
      <b/>
      <u/>
      <sz val="11"/>
      <color theme="0"/>
      <name val="Calibri"/>
      <family val="2"/>
      <scheme val="minor"/>
    </font>
    <font>
      <u/>
      <sz val="11"/>
      <color theme="10"/>
      <name val="Calibri"/>
      <family val="2"/>
      <scheme val="minor"/>
    </font>
    <font>
      <sz val="11"/>
      <color theme="1"/>
      <name val="Calibri"/>
      <family val="2"/>
      <scheme val="minor"/>
    </font>
    <font>
      <sz val="12"/>
      <name val="Calibri"/>
      <family val="2"/>
      <scheme val="minor"/>
    </font>
    <font>
      <i/>
      <u/>
      <sz val="11"/>
      <color theme="10"/>
      <name val="Calibri"/>
      <family val="2"/>
      <scheme val="minor"/>
    </font>
    <font>
      <sz val="11"/>
      <name val="Calibri"/>
      <family val="2"/>
      <scheme val="minor"/>
    </font>
    <font>
      <b/>
      <sz val="10"/>
      <name val="Calibri"/>
      <family val="2"/>
    </font>
    <font>
      <sz val="11"/>
      <color rgb="FFFF0000"/>
      <name val="Calibri"/>
      <family val="2"/>
      <scheme val="minor"/>
    </font>
    <font>
      <i/>
      <sz val="11"/>
      <name val="Calibri"/>
      <family val="2"/>
      <scheme val="minor"/>
    </font>
    <font>
      <b/>
      <sz val="11"/>
      <name val="Calibri"/>
      <family val="2"/>
    </font>
    <font>
      <b/>
      <sz val="11"/>
      <name val="Calibri"/>
      <family val="2"/>
    </font>
    <font>
      <b/>
      <sz val="12"/>
      <name val="Calibri"/>
      <family val="2"/>
    </font>
    <font>
      <b/>
      <sz val="14"/>
      <color rgb="FFFFFFFF"/>
      <name val="Calibri"/>
      <family val="2"/>
    </font>
    <font>
      <b/>
      <sz val="11"/>
      <name val="Calibri"/>
      <family val="2"/>
      <scheme val="minor"/>
    </font>
    <font>
      <sz val="11"/>
      <name val="Arial"/>
      <family val="2"/>
    </font>
    <font>
      <sz val="10"/>
      <name val="Arial"/>
      <family val="2"/>
    </font>
    <font>
      <b/>
      <sz val="10"/>
      <name val="Arial"/>
      <family val="2"/>
    </font>
  </fonts>
  <fills count="19">
    <fill>
      <patternFill patternType="none"/>
    </fill>
    <fill>
      <patternFill patternType="gray125"/>
    </fill>
    <fill>
      <patternFill patternType="solid">
        <fgColor rgb="FFC9A227"/>
        <bgColor indexed="64"/>
      </patternFill>
    </fill>
    <fill>
      <patternFill patternType="solid">
        <fgColor rgb="FF1A1A1A"/>
        <bgColor indexed="64"/>
      </patternFill>
    </fill>
    <fill>
      <patternFill patternType="solid">
        <fgColor rgb="FFEAEAEA"/>
        <bgColor indexed="64"/>
      </patternFill>
    </fill>
    <fill>
      <patternFill patternType="solid">
        <fgColor theme="1"/>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1F4E78"/>
        <bgColor rgb="FF1F4E78"/>
      </patternFill>
    </fill>
    <fill>
      <patternFill patternType="solid">
        <fgColor rgb="FFFFC7CE"/>
        <bgColor indexed="64"/>
      </patternFill>
    </fill>
    <fill>
      <patternFill patternType="solid">
        <fgColor rgb="FFFFC7CE"/>
        <bgColor rgb="FFF8CBAD"/>
      </patternFill>
    </fill>
    <fill>
      <patternFill patternType="solid">
        <fgColor rgb="FFB4C7E7"/>
        <bgColor rgb="FFD9E1F2"/>
      </patternFill>
    </fill>
    <fill>
      <patternFill patternType="solid">
        <fgColor rgb="FFE7E6E6"/>
        <bgColor indexed="64"/>
      </patternFill>
    </fill>
    <fill>
      <patternFill patternType="solid">
        <fgColor theme="9" tint="0.79998168889431442"/>
        <bgColor indexed="64"/>
      </patternFill>
    </fill>
    <fill>
      <patternFill patternType="solid">
        <fgColor rgb="FFB4C7E7"/>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0" tint="-0.249977111117893"/>
        <bgColor indexed="64"/>
      </patternFill>
    </fill>
  </fills>
  <borders count="30">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medium">
        <color rgb="FFC9A227"/>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s>
  <cellStyleXfs count="6">
    <xf numFmtId="0" fontId="0" fillId="0" borderId="0"/>
    <xf numFmtId="0" fontId="3" fillId="0" borderId="0"/>
    <xf numFmtId="0" fontId="9" fillId="0" borderId="0" applyNumberForma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cellStyleXfs>
  <cellXfs count="212">
    <xf numFmtId="0" fontId="0" fillId="0" borderId="0" xfId="0"/>
    <xf numFmtId="0" fontId="0" fillId="0" borderId="1" xfId="0" applyBorder="1" applyAlignment="1">
      <alignment wrapText="1"/>
    </xf>
    <xf numFmtId="0" fontId="0" fillId="0" borderId="2" xfId="0" applyBorder="1" applyAlignment="1">
      <alignment wrapText="1"/>
    </xf>
    <xf numFmtId="0" fontId="0" fillId="0" borderId="1" xfId="0" applyBorder="1" applyAlignment="1">
      <alignment horizontal="center" wrapText="1"/>
    </xf>
    <xf numFmtId="0" fontId="0" fillId="0" borderId="2" xfId="0" applyBorder="1" applyAlignment="1">
      <alignment horizontal="center"/>
    </xf>
    <xf numFmtId="0" fontId="2" fillId="0" borderId="0" xfId="0" applyFont="1"/>
    <xf numFmtId="0" fontId="1" fillId="4" borderId="2" xfId="0" applyFont="1" applyFill="1" applyBorder="1" applyAlignment="1">
      <alignment horizontal="center"/>
    </xf>
    <xf numFmtId="17" fontId="4" fillId="0" borderId="0" xfId="0" applyNumberFormat="1" applyFont="1" applyAlignment="1">
      <alignment horizontal="right"/>
    </xf>
    <xf numFmtId="0" fontId="0" fillId="0" borderId="0" xfId="0" applyAlignment="1">
      <alignment wrapText="1"/>
    </xf>
    <xf numFmtId="0" fontId="8" fillId="5" borderId="2" xfId="0" applyFont="1" applyFill="1" applyBorder="1" applyAlignment="1">
      <alignment horizontal="center"/>
    </xf>
    <xf numFmtId="0" fontId="1" fillId="0" borderId="0" xfId="0" applyFont="1" applyAlignment="1">
      <alignment wrapText="1"/>
    </xf>
    <xf numFmtId="0" fontId="0" fillId="0" borderId="2" xfId="0" applyBorder="1" applyAlignment="1">
      <alignment horizontal="left" wrapText="1"/>
    </xf>
    <xf numFmtId="0" fontId="9" fillId="0" borderId="2" xfId="2" applyBorder="1"/>
    <xf numFmtId="0" fontId="2" fillId="0" borderId="0" xfId="0" applyFont="1" applyAlignment="1">
      <alignment wrapText="1"/>
    </xf>
    <xf numFmtId="0" fontId="2" fillId="0" borderId="1" xfId="0" applyFont="1" applyBorder="1"/>
    <xf numFmtId="0" fontId="6" fillId="0" borderId="0" xfId="0" applyFont="1"/>
    <xf numFmtId="0" fontId="6" fillId="0" borderId="0" xfId="0" applyFont="1" applyAlignment="1">
      <alignment horizontal="center"/>
    </xf>
    <xf numFmtId="0" fontId="5" fillId="0" borderId="0" xfId="0" applyFont="1" applyAlignment="1">
      <alignment horizontal="center"/>
    </xf>
    <xf numFmtId="0" fontId="9" fillId="0" borderId="2" xfId="2" quotePrefix="1" applyBorder="1"/>
    <xf numFmtId="0" fontId="5" fillId="0" borderId="0" xfId="0" applyFont="1"/>
    <xf numFmtId="0" fontId="0" fillId="0" borderId="1" xfId="0" applyBorder="1"/>
    <xf numFmtId="0" fontId="8" fillId="5" borderId="8" xfId="0" applyFont="1" applyFill="1" applyBorder="1" applyAlignment="1">
      <alignment horizontal="center"/>
    </xf>
    <xf numFmtId="0" fontId="8" fillId="0" borderId="0" xfId="0" applyFont="1" applyAlignment="1">
      <alignment horizontal="center"/>
    </xf>
    <xf numFmtId="0" fontId="1" fillId="0" borderId="11" xfId="0" applyFont="1" applyBorder="1" applyAlignment="1">
      <alignment wrapText="1"/>
    </xf>
    <xf numFmtId="0" fontId="0" fillId="0" borderId="9" xfId="0" applyBorder="1" applyAlignment="1">
      <alignment wrapText="1"/>
    </xf>
    <xf numFmtId="0" fontId="0" fillId="0" borderId="8" xfId="0" applyBorder="1" applyAlignment="1">
      <alignment horizontal="center"/>
    </xf>
    <xf numFmtId="9" fontId="0" fillId="0" borderId="2" xfId="3" applyFont="1" applyBorder="1" applyAlignment="1">
      <alignment horizontal="center" wrapText="1"/>
    </xf>
    <xf numFmtId="0" fontId="0" fillId="0" borderId="10" xfId="0" applyBorder="1" applyAlignment="1">
      <alignment horizontal="center"/>
    </xf>
    <xf numFmtId="9" fontId="0" fillId="0" borderId="9" xfId="3" applyFont="1" applyBorder="1" applyAlignment="1">
      <alignment horizontal="center" wrapText="1"/>
    </xf>
    <xf numFmtId="9" fontId="1" fillId="0" borderId="11" xfId="3" applyFont="1" applyBorder="1" applyAlignment="1">
      <alignment horizontal="center" wrapText="1"/>
    </xf>
    <xf numFmtId="0" fontId="1" fillId="0" borderId="11" xfId="0" applyFont="1" applyBorder="1" applyAlignment="1">
      <alignment horizontal="center"/>
    </xf>
    <xf numFmtId="0" fontId="6" fillId="0" borderId="0" xfId="0" applyFont="1" applyAlignment="1">
      <alignment horizontal="left"/>
    </xf>
    <xf numFmtId="0" fontId="11" fillId="0" borderId="0" xfId="0" applyFont="1" applyAlignment="1">
      <alignment horizontal="left"/>
    </xf>
    <xf numFmtId="0" fontId="1" fillId="0" borderId="0" xfId="0" applyFont="1" applyAlignment="1">
      <alignment horizontal="left" wrapText="1"/>
    </xf>
    <xf numFmtId="0" fontId="0" fillId="0" borderId="0" xfId="0" applyAlignment="1">
      <alignment horizontal="left"/>
    </xf>
    <xf numFmtId="0" fontId="0" fillId="0" borderId="0" xfId="0" applyAlignment="1">
      <alignment horizontal="center"/>
    </xf>
    <xf numFmtId="0" fontId="11" fillId="0" borderId="0" xfId="0" applyFont="1" applyAlignment="1">
      <alignment horizontal="center"/>
    </xf>
    <xf numFmtId="0" fontId="11" fillId="0" borderId="0" xfId="0" applyFont="1"/>
    <xf numFmtId="0" fontId="12" fillId="7" borderId="0" xfId="2" quotePrefix="1" applyFont="1" applyFill="1" applyAlignment="1">
      <alignment wrapText="1"/>
    </xf>
    <xf numFmtId="0" fontId="12" fillId="7" borderId="0" xfId="2" applyFont="1" applyFill="1" applyAlignment="1">
      <alignment wrapText="1"/>
    </xf>
    <xf numFmtId="0" fontId="12" fillId="0" borderId="0" xfId="2" applyFont="1" applyFill="1" applyAlignment="1">
      <alignment wrapText="1"/>
    </xf>
    <xf numFmtId="0" fontId="9" fillId="7" borderId="0" xfId="2" applyFill="1" applyAlignment="1">
      <alignment wrapText="1"/>
    </xf>
    <xf numFmtId="0" fontId="1" fillId="0" borderId="0" xfId="0" applyFont="1"/>
    <xf numFmtId="3" fontId="14" fillId="0" borderId="0" xfId="0" applyNumberFormat="1" applyFont="1" applyAlignment="1">
      <alignment horizontal="right" vertical="center"/>
    </xf>
    <xf numFmtId="0" fontId="0" fillId="0" borderId="0" xfId="0" applyAlignment="1">
      <alignment horizontal="right"/>
    </xf>
    <xf numFmtId="0" fontId="14" fillId="0" borderId="0" xfId="0" applyFont="1" applyAlignment="1">
      <alignment horizontal="left" vertical="center" wrapText="1"/>
    </xf>
    <xf numFmtId="0" fontId="4" fillId="0" borderId="0" xfId="0" applyFont="1" applyAlignment="1">
      <alignment horizontal="left"/>
    </xf>
    <xf numFmtId="0" fontId="0" fillId="0" borderId="0" xfId="0" applyAlignment="1">
      <alignment horizontal="left" wrapText="1"/>
    </xf>
    <xf numFmtId="164" fontId="0" fillId="0" borderId="0" xfId="0" applyNumberFormat="1" applyAlignment="1">
      <alignment horizontal="left"/>
    </xf>
    <xf numFmtId="0" fontId="13" fillId="0" borderId="0" xfId="0" applyFont="1" applyAlignment="1">
      <alignment horizontal="left" wrapText="1"/>
    </xf>
    <xf numFmtId="0" fontId="15" fillId="0" borderId="0" xfId="0" applyFont="1"/>
    <xf numFmtId="0" fontId="0" fillId="0" borderId="5" xfId="0" applyBorder="1" applyAlignment="1">
      <alignment wrapText="1"/>
    </xf>
    <xf numFmtId="0" fontId="0" fillId="0" borderId="12" xfId="0" applyBorder="1" applyAlignment="1">
      <alignment horizontal="center"/>
    </xf>
    <xf numFmtId="0" fontId="16" fillId="0" borderId="1" xfId="2" applyFont="1" applyFill="1" applyBorder="1" applyAlignment="1"/>
    <xf numFmtId="0" fontId="0" fillId="0" borderId="2" xfId="0" applyBorder="1" applyAlignment="1">
      <alignment horizontal="center" vertical="center" wrapText="1"/>
    </xf>
    <xf numFmtId="0" fontId="16" fillId="0" borderId="0" xfId="0" applyFont="1" applyAlignment="1">
      <alignment horizontal="left"/>
    </xf>
    <xf numFmtId="15" fontId="0" fillId="0" borderId="2" xfId="0" applyNumberFormat="1" applyBorder="1" applyAlignment="1">
      <alignment horizontal="center" vertical="center"/>
    </xf>
    <xf numFmtId="15" fontId="0" fillId="0" borderId="2" xfId="0" applyNumberFormat="1" applyBorder="1" applyAlignment="1">
      <alignment horizontal="center" vertical="center" wrapText="1"/>
    </xf>
    <xf numFmtId="17" fontId="0" fillId="0" borderId="2" xfId="0" applyNumberFormat="1" applyBorder="1" applyAlignment="1">
      <alignment horizontal="center" vertical="center" wrapText="1"/>
    </xf>
    <xf numFmtId="0" fontId="0" fillId="0" borderId="2" xfId="0" applyBorder="1" applyAlignment="1">
      <alignment vertical="center" wrapText="1"/>
    </xf>
    <xf numFmtId="8" fontId="0" fillId="0" borderId="2" xfId="0" applyNumberFormat="1" applyBorder="1" applyAlignment="1">
      <alignment vertical="center" wrapText="1"/>
    </xf>
    <xf numFmtId="10" fontId="0" fillId="0" borderId="2" xfId="3" applyNumberFormat="1" applyFont="1" applyBorder="1" applyAlignment="1">
      <alignment vertical="center" wrapText="1"/>
    </xf>
    <xf numFmtId="10" fontId="0" fillId="0" borderId="2" xfId="3" applyNumberFormat="1" applyFont="1" applyBorder="1"/>
    <xf numFmtId="10" fontId="0" fillId="0" borderId="0" xfId="0" applyNumberFormat="1"/>
    <xf numFmtId="0" fontId="9" fillId="0" borderId="0" xfId="2" applyAlignment="1">
      <alignment horizontal="left" wrapText="1"/>
    </xf>
    <xf numFmtId="0" fontId="19" fillId="11" borderId="1" xfId="0" applyFont="1" applyFill="1" applyBorder="1" applyAlignment="1">
      <alignment indent="1"/>
    </xf>
    <xf numFmtId="4" fontId="19" fillId="11" borderId="17" xfId="0" applyNumberFormat="1" applyFont="1" applyFill="1" applyBorder="1"/>
    <xf numFmtId="4" fontId="19" fillId="11" borderId="17" xfId="0" applyNumberFormat="1" applyFont="1" applyFill="1" applyBorder="1" applyAlignment="1">
      <alignment indent="1"/>
    </xf>
    <xf numFmtId="0" fontId="0" fillId="0" borderId="1" xfId="0" applyBorder="1" applyAlignment="1">
      <alignment indent="1"/>
    </xf>
    <xf numFmtId="0" fontId="1" fillId="0" borderId="1" xfId="0" applyFont="1" applyBorder="1" applyAlignment="1">
      <alignment indent="1"/>
    </xf>
    <xf numFmtId="0" fontId="1" fillId="9" borderId="1" xfId="0" applyFont="1" applyFill="1" applyBorder="1" applyAlignment="1">
      <alignment indent="1"/>
    </xf>
    <xf numFmtId="0" fontId="1" fillId="12" borderId="1" xfId="0" applyFont="1" applyFill="1" applyBorder="1" applyAlignment="1">
      <alignment indent="1"/>
    </xf>
    <xf numFmtId="0" fontId="17" fillId="10" borderId="18" xfId="0" applyFont="1" applyFill="1" applyBorder="1" applyAlignment="1">
      <alignment indent="1"/>
    </xf>
    <xf numFmtId="0" fontId="19" fillId="11" borderId="14" xfId="0" applyFont="1" applyFill="1" applyBorder="1" applyAlignment="1">
      <alignment indent="1"/>
    </xf>
    <xf numFmtId="0" fontId="1" fillId="9" borderId="18" xfId="0" applyFont="1" applyFill="1" applyBorder="1" applyAlignment="1">
      <alignment indent="1"/>
    </xf>
    <xf numFmtId="44" fontId="14" fillId="0" borderId="13" xfId="5" applyFont="1" applyFill="1" applyBorder="1" applyAlignment="1">
      <alignment horizontal="right" vertical="center"/>
    </xf>
    <xf numFmtId="44" fontId="6" fillId="13" borderId="13" xfId="0" applyNumberFormat="1" applyFont="1" applyFill="1" applyBorder="1" applyAlignment="1">
      <alignment horizontal="left"/>
    </xf>
    <xf numFmtId="0" fontId="1" fillId="4" borderId="20" xfId="0" applyFont="1" applyFill="1" applyBorder="1" applyAlignment="1">
      <alignment horizontal="center"/>
    </xf>
    <xf numFmtId="0" fontId="1" fillId="4" borderId="21" xfId="0" applyFont="1" applyFill="1" applyBorder="1" applyAlignment="1">
      <alignment horizontal="center"/>
    </xf>
    <xf numFmtId="0" fontId="1" fillId="4" borderId="22" xfId="0" applyFont="1" applyFill="1" applyBorder="1" applyAlignment="1">
      <alignment horizontal="center"/>
    </xf>
    <xf numFmtId="0" fontId="11" fillId="0" borderId="1" xfId="0" applyFont="1" applyBorder="1" applyAlignment="1">
      <alignment horizontal="left"/>
    </xf>
    <xf numFmtId="44" fontId="14" fillId="0" borderId="0" xfId="5" applyFont="1" applyFill="1" applyBorder="1" applyAlignment="1">
      <alignment horizontal="right" vertical="center"/>
    </xf>
    <xf numFmtId="44" fontId="14" fillId="0" borderId="17" xfId="5" applyFont="1" applyFill="1" applyBorder="1" applyAlignment="1">
      <alignment horizontal="right" vertical="center"/>
    </xf>
    <xf numFmtId="0" fontId="11" fillId="0" borderId="18" xfId="0" applyFont="1" applyBorder="1" applyAlignment="1">
      <alignment horizontal="left"/>
    </xf>
    <xf numFmtId="44" fontId="14" fillId="0" borderId="19" xfId="5" applyFont="1" applyFill="1" applyBorder="1" applyAlignment="1">
      <alignment horizontal="right" vertical="center"/>
    </xf>
    <xf numFmtId="0" fontId="6" fillId="13" borderId="18" xfId="0" applyFont="1" applyFill="1" applyBorder="1" applyAlignment="1">
      <alignment horizontal="left"/>
    </xf>
    <xf numFmtId="44" fontId="6" fillId="13" borderId="19" xfId="0" applyNumberFormat="1" applyFont="1" applyFill="1" applyBorder="1" applyAlignment="1">
      <alignment horizontal="left"/>
    </xf>
    <xf numFmtId="0" fontId="21" fillId="0" borderId="0" xfId="0" applyFont="1" applyAlignment="1">
      <alignment indent="1"/>
    </xf>
    <xf numFmtId="43" fontId="21" fillId="0" borderId="0" xfId="4" applyFont="1" applyFill="1" applyBorder="1"/>
    <xf numFmtId="0" fontId="13" fillId="0" borderId="0" xfId="0" applyFont="1" applyAlignment="1">
      <alignment horizontal="left"/>
    </xf>
    <xf numFmtId="43" fontId="19" fillId="11" borderId="15" xfId="4" applyFont="1" applyFill="1" applyBorder="1" applyAlignment="1">
      <alignment horizontal="center"/>
    </xf>
    <xf numFmtId="43" fontId="19" fillId="11" borderId="16" xfId="4" applyFont="1" applyFill="1" applyBorder="1" applyAlignment="1">
      <alignment horizontal="center"/>
    </xf>
    <xf numFmtId="44" fontId="1" fillId="0" borderId="0" xfId="5" applyFont="1" applyBorder="1" applyAlignment="1">
      <alignment indent="1"/>
    </xf>
    <xf numFmtId="44" fontId="1" fillId="0" borderId="17" xfId="5" applyFont="1" applyBorder="1" applyAlignment="1">
      <alignment indent="1"/>
    </xf>
    <xf numFmtId="44" fontId="0" fillId="0" borderId="0" xfId="5" applyFont="1" applyBorder="1"/>
    <xf numFmtId="44" fontId="0" fillId="0" borderId="17" xfId="5" applyFont="1" applyBorder="1"/>
    <xf numFmtId="44" fontId="17" fillId="10" borderId="13" xfId="5" applyFont="1" applyFill="1" applyBorder="1"/>
    <xf numFmtId="44" fontId="17" fillId="10" borderId="19" xfId="5" applyFont="1" applyFill="1" applyBorder="1"/>
    <xf numFmtId="44" fontId="1" fillId="9" borderId="13" xfId="5" applyFont="1" applyFill="1" applyBorder="1"/>
    <xf numFmtId="44" fontId="1" fillId="9" borderId="19" xfId="5" applyFont="1" applyFill="1" applyBorder="1"/>
    <xf numFmtId="0" fontId="21" fillId="4" borderId="2" xfId="0" applyFont="1" applyFill="1" applyBorder="1" applyAlignment="1">
      <alignment horizontal="center"/>
    </xf>
    <xf numFmtId="0" fontId="18" fillId="10" borderId="18" xfId="0" applyFont="1" applyFill="1" applyBorder="1" applyAlignment="1">
      <alignment indent="1"/>
    </xf>
    <xf numFmtId="44" fontId="1" fillId="12" borderId="17" xfId="5" applyFont="1" applyFill="1" applyBorder="1"/>
    <xf numFmtId="44" fontId="1" fillId="12" borderId="0" xfId="5" applyFont="1" applyFill="1" applyBorder="1"/>
    <xf numFmtId="0" fontId="18" fillId="10" borderId="1" xfId="0" applyFont="1" applyFill="1" applyBorder="1" applyAlignment="1">
      <alignment indent="1"/>
    </xf>
    <xf numFmtId="0" fontId="1" fillId="0" borderId="1" xfId="0" applyFont="1" applyBorder="1"/>
    <xf numFmtId="44" fontId="19" fillId="11" borderId="17" xfId="5" applyFont="1" applyFill="1" applyBorder="1" applyAlignment="1">
      <alignment indent="1"/>
    </xf>
    <xf numFmtId="44" fontId="19" fillId="11" borderId="0" xfId="5" applyFont="1" applyFill="1" applyBorder="1" applyAlignment="1">
      <alignment indent="1"/>
    </xf>
    <xf numFmtId="44" fontId="19" fillId="11" borderId="17" xfId="5" applyFont="1" applyFill="1" applyBorder="1"/>
    <xf numFmtId="44" fontId="19" fillId="11" borderId="0" xfId="5" applyFont="1" applyFill="1" applyBorder="1"/>
    <xf numFmtId="0" fontId="0" fillId="12" borderId="1" xfId="0" applyFill="1" applyBorder="1"/>
    <xf numFmtId="44" fontId="0" fillId="12" borderId="0" xfId="5" applyFont="1" applyFill="1" applyBorder="1"/>
    <xf numFmtId="44" fontId="0" fillId="12" borderId="17" xfId="5" applyFont="1" applyFill="1" applyBorder="1"/>
    <xf numFmtId="44" fontId="0" fillId="0" borderId="0" xfId="5" applyFont="1" applyBorder="1" applyAlignment="1">
      <alignment indent="1"/>
    </xf>
    <xf numFmtId="44" fontId="0" fillId="0" borderId="17" xfId="5" applyFont="1" applyBorder="1" applyAlignment="1">
      <alignment indent="1"/>
    </xf>
    <xf numFmtId="44" fontId="1" fillId="9" borderId="0" xfId="5" applyFont="1" applyFill="1" applyBorder="1"/>
    <xf numFmtId="44" fontId="1" fillId="9" borderId="17" xfId="5" applyFont="1" applyFill="1" applyBorder="1"/>
    <xf numFmtId="44" fontId="18" fillId="10" borderId="0" xfId="5" applyFont="1" applyFill="1" applyBorder="1"/>
    <xf numFmtId="44" fontId="18" fillId="10" borderId="17" xfId="5" applyFont="1" applyFill="1" applyBorder="1"/>
    <xf numFmtId="44" fontId="18" fillId="10" borderId="13" xfId="5" applyFont="1" applyFill="1" applyBorder="1"/>
    <xf numFmtId="44" fontId="18" fillId="10" borderId="19" xfId="5" applyFont="1" applyFill="1" applyBorder="1"/>
    <xf numFmtId="4" fontId="19" fillId="11" borderId="0" xfId="0" applyNumberFormat="1" applyFont="1" applyFill="1"/>
    <xf numFmtId="4" fontId="19" fillId="11" borderId="0" xfId="0" applyNumberFormat="1" applyFont="1" applyFill="1" applyAlignment="1">
      <alignment indent="1"/>
    </xf>
    <xf numFmtId="0" fontId="1" fillId="14" borderId="1" xfId="0" applyFont="1" applyFill="1" applyBorder="1" applyAlignment="1">
      <alignment indent="1"/>
    </xf>
    <xf numFmtId="44" fontId="0" fillId="14" borderId="0" xfId="5" applyFont="1" applyFill="1" applyBorder="1"/>
    <xf numFmtId="44" fontId="0" fillId="14" borderId="17" xfId="5" applyFont="1" applyFill="1" applyBorder="1"/>
    <xf numFmtId="0" fontId="17" fillId="0" borderId="0" xfId="0" applyFont="1" applyAlignment="1">
      <alignment indent="1"/>
    </xf>
    <xf numFmtId="44" fontId="17" fillId="0" borderId="0" xfId="5" applyFont="1" applyFill="1" applyBorder="1"/>
    <xf numFmtId="0" fontId="22" fillId="0" borderId="0" xfId="0" applyFont="1" applyAlignment="1">
      <alignment horizontal="left" vertical="center" wrapText="1"/>
    </xf>
    <xf numFmtId="44" fontId="22" fillId="0" borderId="0" xfId="5" applyFont="1" applyBorder="1" applyAlignment="1">
      <alignment horizontal="left" vertical="center" wrapText="1"/>
    </xf>
    <xf numFmtId="0" fontId="0" fillId="0" borderId="2" xfId="0" applyBorder="1" applyAlignment="1">
      <alignment indent="1"/>
    </xf>
    <xf numFmtId="44" fontId="0" fillId="0" borderId="2" xfId="5" applyFont="1" applyBorder="1" applyAlignment="1">
      <alignment indent="1"/>
    </xf>
    <xf numFmtId="0" fontId="1" fillId="0" borderId="0" xfId="0" applyFont="1" applyAlignment="1">
      <alignment horizontal="left"/>
    </xf>
    <xf numFmtId="0" fontId="0" fillId="0" borderId="2" xfId="0" applyBorder="1" applyAlignment="1">
      <alignment horizontal="left"/>
    </xf>
    <xf numFmtId="10" fontId="0" fillId="0" borderId="2" xfId="0" applyNumberFormat="1" applyBorder="1" applyAlignment="1">
      <alignment horizontal="left"/>
    </xf>
    <xf numFmtId="0" fontId="0" fillId="0" borderId="14" xfId="0" applyBorder="1" applyAlignment="1">
      <alignment horizontal="left" wrapText="1"/>
    </xf>
    <xf numFmtId="10" fontId="0" fillId="0" borderId="16" xfId="0" applyNumberFormat="1" applyBorder="1" applyAlignment="1">
      <alignment horizontal="left"/>
    </xf>
    <xf numFmtId="0" fontId="0" fillId="0" borderId="1" xfId="0" applyBorder="1" applyAlignment="1">
      <alignment horizontal="left" wrapText="1"/>
    </xf>
    <xf numFmtId="0" fontId="0" fillId="0" borderId="17" xfId="0" applyBorder="1" applyAlignment="1">
      <alignment horizontal="left"/>
    </xf>
    <xf numFmtId="0" fontId="0" fillId="0" borderId="18" xfId="0" applyBorder="1" applyAlignment="1">
      <alignment horizontal="left" wrapText="1"/>
    </xf>
    <xf numFmtId="10" fontId="0" fillId="0" borderId="19" xfId="0" applyNumberFormat="1" applyBorder="1" applyAlignment="1">
      <alignment horizontal="left"/>
    </xf>
    <xf numFmtId="0" fontId="1" fillId="15" borderId="2" xfId="0" applyFont="1" applyFill="1" applyBorder="1" applyAlignment="1">
      <alignment horizontal="left"/>
    </xf>
    <xf numFmtId="0" fontId="1" fillId="15" borderId="27" xfId="0" applyFont="1" applyFill="1" applyBorder="1" applyAlignment="1">
      <alignment horizontal="left"/>
    </xf>
    <xf numFmtId="0" fontId="1" fillId="0" borderId="1" xfId="0" applyFont="1" applyBorder="1" applyAlignment="1">
      <alignment horizontal="left" wrapText="1"/>
    </xf>
    <xf numFmtId="0" fontId="1" fillId="15" borderId="1" xfId="0" applyFont="1" applyFill="1" applyBorder="1" applyAlignment="1">
      <alignment horizontal="left" wrapText="1"/>
    </xf>
    <xf numFmtId="10" fontId="0" fillId="15" borderId="1" xfId="0" applyNumberFormat="1" applyFill="1" applyBorder="1" applyAlignment="1">
      <alignment horizontal="left" wrapText="1"/>
    </xf>
    <xf numFmtId="0" fontId="0" fillId="0" borderId="19" xfId="0" applyBorder="1" applyAlignment="1">
      <alignment horizontal="left"/>
    </xf>
    <xf numFmtId="44" fontId="0" fillId="0" borderId="17" xfId="5" applyFont="1" applyBorder="1" applyAlignment="1">
      <alignment horizontal="left"/>
    </xf>
    <xf numFmtId="44" fontId="0" fillId="0" borderId="17" xfId="0" applyNumberFormat="1" applyBorder="1" applyAlignment="1">
      <alignment horizontal="left"/>
    </xf>
    <xf numFmtId="3" fontId="0" fillId="0" borderId="17" xfId="0" applyNumberFormat="1" applyBorder="1" applyAlignment="1">
      <alignment horizontal="left"/>
    </xf>
    <xf numFmtId="0" fontId="1" fillId="15" borderId="28" xfId="0" applyFont="1" applyFill="1" applyBorder="1" applyAlignment="1">
      <alignment horizontal="left"/>
    </xf>
    <xf numFmtId="10" fontId="0" fillId="0" borderId="17" xfId="0" applyNumberFormat="1" applyBorder="1" applyAlignment="1">
      <alignment horizontal="left"/>
    </xf>
    <xf numFmtId="9" fontId="0" fillId="0" borderId="17" xfId="0" applyNumberFormat="1" applyBorder="1" applyAlignment="1">
      <alignment horizontal="left"/>
    </xf>
    <xf numFmtId="0" fontId="1" fillId="15" borderId="0" xfId="0" applyFont="1" applyFill="1" applyAlignment="1">
      <alignment horizontal="left"/>
    </xf>
    <xf numFmtId="165" fontId="1" fillId="15" borderId="17" xfId="0" applyNumberFormat="1" applyFont="1" applyFill="1" applyBorder="1" applyAlignment="1">
      <alignment horizontal="left"/>
    </xf>
    <xf numFmtId="10" fontId="1" fillId="15" borderId="17" xfId="0" applyNumberFormat="1" applyFont="1" applyFill="1" applyBorder="1" applyAlignment="1">
      <alignment horizontal="left"/>
    </xf>
    <xf numFmtId="166" fontId="0" fillId="15" borderId="0" xfId="3" applyNumberFormat="1" applyFont="1" applyFill="1" applyBorder="1" applyAlignment="1">
      <alignment horizontal="left"/>
    </xf>
    <xf numFmtId="0" fontId="0" fillId="0" borderId="13" xfId="0" applyBorder="1" applyAlignment="1">
      <alignment horizontal="left"/>
    </xf>
    <xf numFmtId="0" fontId="1" fillId="17" borderId="0" xfId="0" applyFont="1" applyFill="1" applyAlignment="1">
      <alignment horizontal="left"/>
    </xf>
    <xf numFmtId="0" fontId="1" fillId="17" borderId="0" xfId="0" applyFont="1" applyFill="1" applyAlignment="1">
      <alignment horizontal="left" wrapText="1"/>
    </xf>
    <xf numFmtId="0" fontId="1" fillId="18" borderId="2" xfId="0" applyFont="1" applyFill="1" applyBorder="1" applyAlignment="1">
      <alignment horizontal="center"/>
    </xf>
    <xf numFmtId="9" fontId="0" fillId="0" borderId="2" xfId="0" applyNumberFormat="1" applyBorder="1" applyAlignment="1">
      <alignment horizontal="left"/>
    </xf>
    <xf numFmtId="2" fontId="0" fillId="0" borderId="2" xfId="0" applyNumberFormat="1" applyBorder="1" applyAlignment="1">
      <alignment horizontal="left"/>
    </xf>
    <xf numFmtId="2" fontId="1" fillId="15" borderId="2" xfId="0" applyNumberFormat="1" applyFont="1" applyFill="1" applyBorder="1" applyAlignment="1">
      <alignment horizontal="left"/>
    </xf>
    <xf numFmtId="0" fontId="1" fillId="18" borderId="2" xfId="0" applyFont="1" applyFill="1" applyBorder="1" applyAlignment="1">
      <alignment horizontal="center" wrapText="1"/>
    </xf>
    <xf numFmtId="164" fontId="0" fillId="0" borderId="2" xfId="0" applyNumberFormat="1" applyBorder="1" applyAlignment="1">
      <alignment horizontal="left" wrapText="1"/>
    </xf>
    <xf numFmtId="2" fontId="0" fillId="0" borderId="2" xfId="0" applyNumberFormat="1" applyBorder="1" applyAlignment="1">
      <alignment horizontal="left" wrapText="1"/>
    </xf>
    <xf numFmtId="0" fontId="1" fillId="15" borderId="2" xfId="0" applyFont="1" applyFill="1" applyBorder="1" applyAlignment="1">
      <alignment horizontal="left" wrapText="1"/>
    </xf>
    <xf numFmtId="2" fontId="1" fillId="15" borderId="2" xfId="0" applyNumberFormat="1" applyFont="1" applyFill="1" applyBorder="1" applyAlignment="1">
      <alignment horizontal="left" wrapText="1"/>
    </xf>
    <xf numFmtId="0" fontId="0" fillId="0" borderId="2" xfId="0" applyBorder="1" applyAlignment="1">
      <alignment vertical="center"/>
    </xf>
    <xf numFmtId="0" fontId="9" fillId="7" borderId="1" xfId="2" applyFill="1" applyBorder="1" applyAlignment="1">
      <alignment wrapText="1"/>
    </xf>
    <xf numFmtId="0" fontId="9" fillId="7" borderId="0" xfId="2" applyFill="1" applyAlignment="1">
      <alignment horizontal="left" wrapText="1"/>
    </xf>
    <xf numFmtId="0" fontId="13" fillId="0" borderId="2" xfId="0" applyFont="1" applyBorder="1" applyAlignment="1">
      <alignment horizontal="left" vertical="center" wrapText="1"/>
    </xf>
    <xf numFmtId="44" fontId="13" fillId="0" borderId="2" xfId="5" applyFont="1" applyBorder="1" applyAlignment="1">
      <alignment horizontal="left" vertical="center" wrapText="1"/>
    </xf>
    <xf numFmtId="0" fontId="9" fillId="0" borderId="2" xfId="2" applyBorder="1" applyAlignment="1">
      <alignment horizontal="left" wrapText="1"/>
    </xf>
    <xf numFmtId="0" fontId="9" fillId="0" borderId="2" xfId="2" applyBorder="1" applyAlignment="1">
      <alignment horizontal="left"/>
    </xf>
    <xf numFmtId="0" fontId="9" fillId="0" borderId="2" xfId="2" applyFill="1" applyBorder="1" applyAlignment="1">
      <alignment horizontal="left"/>
    </xf>
    <xf numFmtId="0" fontId="13" fillId="0" borderId="0" xfId="0" applyFont="1" applyAlignment="1">
      <alignment horizontal="left" vertical="center"/>
    </xf>
    <xf numFmtId="0" fontId="13" fillId="0" borderId="0" xfId="0" applyFont="1" applyAlignment="1">
      <alignment horizontal="left" vertical="center" wrapText="1"/>
    </xf>
    <xf numFmtId="0" fontId="5" fillId="3" borderId="3" xfId="0" applyFont="1" applyFill="1" applyBorder="1" applyAlignment="1">
      <alignment horizontal="center"/>
    </xf>
    <xf numFmtId="0" fontId="7" fillId="2" borderId="3" xfId="0" applyFont="1" applyFill="1" applyBorder="1" applyAlignment="1">
      <alignment horizontal="center"/>
    </xf>
    <xf numFmtId="0" fontId="5" fillId="3" borderId="2" xfId="0" applyFont="1" applyFill="1" applyBorder="1" applyAlignment="1">
      <alignment horizontal="center"/>
    </xf>
    <xf numFmtId="0" fontId="0" fillId="0" borderId="2" xfId="0" applyBorder="1" applyAlignment="1">
      <alignment horizontal="center" vertical="center"/>
    </xf>
    <xf numFmtId="0" fontId="9" fillId="0" borderId="5" xfId="2" applyBorder="1" applyAlignment="1">
      <alignment horizontal="left" vertical="center"/>
    </xf>
    <xf numFmtId="0" fontId="9" fillId="0" borderId="6" xfId="2" applyBorder="1" applyAlignment="1">
      <alignment horizontal="left" vertical="center"/>
    </xf>
    <xf numFmtId="0" fontId="9" fillId="0" borderId="7" xfId="2" applyBorder="1" applyAlignment="1">
      <alignment horizontal="left" vertical="center"/>
    </xf>
    <xf numFmtId="0" fontId="5" fillId="5" borderId="0" xfId="0" applyFont="1" applyFill="1" applyAlignment="1">
      <alignment horizontal="center"/>
    </xf>
    <xf numFmtId="0" fontId="6" fillId="2" borderId="0" xfId="0" applyFont="1" applyFill="1" applyAlignment="1">
      <alignment horizontal="center"/>
    </xf>
    <xf numFmtId="0" fontId="5" fillId="3" borderId="0" xfId="0" applyFont="1" applyFill="1" applyAlignment="1">
      <alignment horizontal="center"/>
    </xf>
    <xf numFmtId="0" fontId="0" fillId="0" borderId="2" xfId="0" applyBorder="1" applyAlignment="1">
      <alignment horizontal="center" wrapText="1"/>
    </xf>
    <xf numFmtId="0" fontId="8" fillId="5" borderId="2" xfId="0" applyFont="1" applyFill="1" applyBorder="1" applyAlignment="1">
      <alignment horizontal="center"/>
    </xf>
    <xf numFmtId="0" fontId="6" fillId="2" borderId="4" xfId="0" applyFont="1" applyFill="1" applyBorder="1" applyAlignment="1">
      <alignment horizontal="center"/>
    </xf>
    <xf numFmtId="0" fontId="1" fillId="6" borderId="2" xfId="0" applyFont="1" applyFill="1" applyBorder="1" applyAlignment="1">
      <alignment horizontal="center" wrapText="1"/>
    </xf>
    <xf numFmtId="0" fontId="1" fillId="16" borderId="26" xfId="0" applyFont="1" applyFill="1" applyBorder="1" applyAlignment="1">
      <alignment horizontal="center" vertical="center" wrapText="1"/>
    </xf>
    <xf numFmtId="0" fontId="1" fillId="16" borderId="25" xfId="0" applyFont="1" applyFill="1" applyBorder="1" applyAlignment="1">
      <alignment horizontal="center" vertical="center" wrapText="1"/>
    </xf>
    <xf numFmtId="0" fontId="1" fillId="16" borderId="24" xfId="0" applyFont="1" applyFill="1" applyBorder="1" applyAlignment="1">
      <alignment horizontal="center" vertical="center" wrapText="1"/>
    </xf>
    <xf numFmtId="0" fontId="20" fillId="8" borderId="14" xfId="0" applyFont="1" applyFill="1" applyBorder="1" applyAlignment="1">
      <alignment horizontal="center" vertical="center"/>
    </xf>
    <xf numFmtId="0" fontId="20" fillId="8" borderId="1" xfId="0" applyFont="1" applyFill="1" applyBorder="1" applyAlignment="1">
      <alignment horizontal="center" vertical="center"/>
    </xf>
    <xf numFmtId="0" fontId="20" fillId="8" borderId="15" xfId="0" applyFont="1" applyFill="1" applyBorder="1" applyAlignment="1">
      <alignment horizontal="center" vertical="center"/>
    </xf>
    <xf numFmtId="0" fontId="20" fillId="8" borderId="0" xfId="0" applyFont="1" applyFill="1" applyAlignment="1">
      <alignment horizontal="center" vertical="center"/>
    </xf>
    <xf numFmtId="0" fontId="20" fillId="8" borderId="16" xfId="0" applyFont="1" applyFill="1" applyBorder="1" applyAlignment="1">
      <alignment horizontal="center" vertical="center"/>
    </xf>
    <xf numFmtId="0" fontId="20" fillId="8" borderId="17" xfId="0" applyFont="1" applyFill="1" applyBorder="1" applyAlignment="1">
      <alignment horizontal="center" vertical="center"/>
    </xf>
    <xf numFmtId="0" fontId="13" fillId="0" borderId="2" xfId="2" applyFont="1" applyBorder="1" applyAlignment="1">
      <alignment horizontal="center" vertical="center" wrapText="1"/>
    </xf>
    <xf numFmtId="0" fontId="13" fillId="0" borderId="2"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3" fillId="0" borderId="5" xfId="2" applyFont="1" applyBorder="1" applyAlignment="1">
      <alignment horizontal="center" vertical="center" wrapText="1"/>
    </xf>
    <xf numFmtId="0" fontId="13" fillId="0" borderId="6" xfId="2" applyFont="1" applyBorder="1" applyAlignment="1">
      <alignment horizontal="center" vertical="center" wrapText="1"/>
    </xf>
    <xf numFmtId="0" fontId="13" fillId="0" borderId="7" xfId="2" applyFont="1" applyBorder="1" applyAlignment="1">
      <alignment horizontal="center" vertical="center" wrapText="1"/>
    </xf>
    <xf numFmtId="0" fontId="11" fillId="0" borderId="29" xfId="0" applyFont="1" applyBorder="1" applyAlignment="1">
      <alignment horizontal="center" vertical="center"/>
    </xf>
    <xf numFmtId="0" fontId="11" fillId="0" borderId="23" xfId="0" applyFont="1" applyBorder="1" applyAlignment="1">
      <alignment horizontal="center" vertical="center"/>
    </xf>
  </cellXfs>
  <cellStyles count="6">
    <cellStyle name="Comma" xfId="4" builtinId="3"/>
    <cellStyle name="Currency" xfId="5" builtinId="4"/>
    <cellStyle name="Hyperlink" xfId="2" builtinId="8"/>
    <cellStyle name="Normal" xfId="0" builtinId="0"/>
    <cellStyle name="Normal 2" xfId="1" xr:uid="{85930481-45D0-4EC1-BA2D-BAF0EBAFD198}"/>
    <cellStyle name="Percent" xfId="3" builtinId="5"/>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230BBE10-A482-49EF-9A15-CBBBCBD445F6}">
      <tableStyleElement type="wholeTable" size="0" dxfId="3"/>
      <tableStyleElement type="headerRow" dxfId="2"/>
      <tableStyleElement type="firstRowStripe" dxfId="1"/>
      <tableStyleElement type="secondRowStripe" dxfId="0"/>
    </tableStyle>
  </tableStyles>
  <colors>
    <mruColors>
      <color rgb="FFB4C7E7"/>
      <color rgb="FFE7E6E6"/>
      <color rgb="FFFFC7CE"/>
      <color rgb="FFF5F5F5"/>
      <color rgb="FFC9A227"/>
      <color rgb="FF1A1A1A"/>
      <color rgb="FFEAEAEA"/>
      <color rgb="FFFBD9D3"/>
      <color rgb="FFFFEFEA"/>
      <color rgb="FFFFB0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Board Composition of Avenue Supermarts Ltd.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'Part 1 - Corporate Governance'!$B$36</c:f>
              <c:strCache>
                <c:ptCount val="1"/>
                <c:pt idx="0">
                  <c:v>#</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D72-41D2-A76C-F5DE0F83D5FE}"/>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7CA-447F-BC6E-D803D6635136}"/>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B7A-4E38-AFF8-22A7F058FAA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 1 - Corporate Governance'!$A$37:$A$39</c:f>
              <c:strCache>
                <c:ptCount val="3"/>
                <c:pt idx="0">
                  <c:v>Executive Directors</c:v>
                </c:pt>
                <c:pt idx="1">
                  <c:v>Non-Executive Non-Independent Directors</c:v>
                </c:pt>
                <c:pt idx="2">
                  <c:v>Non-Executive Independent Directors</c:v>
                </c:pt>
              </c:strCache>
            </c:strRef>
          </c:cat>
          <c:val>
            <c:numRef>
              <c:f>'Part 1 - Corporate Governance'!$B$37:$B$39</c:f>
              <c:numCache>
                <c:formatCode>General</c:formatCode>
                <c:ptCount val="3"/>
                <c:pt idx="0">
                  <c:v>4</c:v>
                </c:pt>
                <c:pt idx="1">
                  <c:v>1</c:v>
                </c:pt>
                <c:pt idx="2">
                  <c:v>3</c:v>
                </c:pt>
              </c:numCache>
            </c:numRef>
          </c:val>
          <c:extLst>
            <c:ext xmlns:c16="http://schemas.microsoft.com/office/drawing/2014/chart" uri="{C3380CC4-5D6E-409C-BE32-E72D297353CC}">
              <c16:uniqueId val="{00000000-D7CA-447F-BC6E-D803D6635136}"/>
            </c:ext>
          </c:extLst>
        </c:ser>
        <c:dLbls>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Working Capital trends for the last 3 yrs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'Part 3 - Financial Management'!$A$76</c:f>
              <c:strCache>
                <c:ptCount val="1"/>
                <c:pt idx="0">
                  <c:v>Working Capital</c:v>
                </c:pt>
              </c:strCache>
            </c:strRef>
          </c:tx>
          <c:spPr>
            <a:ln w="28575" cap="rnd">
              <a:solidFill>
                <a:schemeClr val="accent1"/>
              </a:solidFill>
              <a:round/>
            </a:ln>
            <a:effectLst/>
          </c:spPr>
          <c:marker>
            <c:symbol val="none"/>
          </c:marker>
          <c:cat>
            <c:strRef>
              <c:f>'Part 3 - Financial Management'!$B$73:$D$73</c:f>
              <c:strCache>
                <c:ptCount val="3"/>
                <c:pt idx="0">
                  <c:v>FY '23</c:v>
                </c:pt>
                <c:pt idx="1">
                  <c:v>FY '24</c:v>
                </c:pt>
                <c:pt idx="2">
                  <c:v>FY '25</c:v>
                </c:pt>
              </c:strCache>
            </c:strRef>
          </c:cat>
          <c:val>
            <c:numRef>
              <c:f>'Part 3 - Financial Management'!$B$76:$D$76</c:f>
              <c:numCache>
                <c:formatCode>_("₹"* #,##0.00_);_("₹"* \(#,##0.00\);_("₹"* "-"??_);_(@_)</c:formatCode>
                <c:ptCount val="3"/>
                <c:pt idx="0">
                  <c:v>3981.38</c:v>
                </c:pt>
                <c:pt idx="1">
                  <c:v>4222.8900000000012</c:v>
                </c:pt>
                <c:pt idx="2">
                  <c:v>4180.0399999999991</c:v>
                </c:pt>
              </c:numCache>
            </c:numRef>
          </c:val>
          <c:smooth val="0"/>
          <c:extLst>
            <c:ext xmlns:c16="http://schemas.microsoft.com/office/drawing/2014/chart" uri="{C3380CC4-5D6E-409C-BE32-E72D297353CC}">
              <c16:uniqueId val="{00000000-CFC1-4636-BDF3-C3A49C461B4E}"/>
            </c:ext>
          </c:extLst>
        </c:ser>
        <c:dLbls>
          <c:showLegendKey val="0"/>
          <c:showVal val="0"/>
          <c:showCatName val="0"/>
          <c:showSerName val="0"/>
          <c:showPercent val="0"/>
          <c:showBubbleSize val="0"/>
        </c:dLbls>
        <c:smooth val="0"/>
        <c:axId val="95950208"/>
        <c:axId val="95960768"/>
      </c:lineChart>
      <c:catAx>
        <c:axId val="95950208"/>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t>Years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5960768"/>
        <c:crosses val="autoZero"/>
        <c:auto val="1"/>
        <c:lblAlgn val="ctr"/>
        <c:lblOffset val="100"/>
        <c:noMultiLvlLbl val="0"/>
      </c:catAx>
      <c:valAx>
        <c:axId val="9596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t>All values are in ₹ crores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5950208"/>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Components of Current Assets in</a:t>
            </a:r>
            <a:r>
              <a:rPr lang="en-US" baseline="0"/>
              <a:t> </a:t>
            </a:r>
            <a:r>
              <a:rPr lang="en-US"/>
              <a:t>FY</a:t>
            </a:r>
            <a:r>
              <a:rPr lang="en-US" baseline="0"/>
              <a:t> '25</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'Part 3 - Financial Management'!$B$47</c:f>
              <c:strCache>
                <c:ptCount val="1"/>
                <c:pt idx="0">
                  <c:v> FY '25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1C-4EEB-AEE9-683386FCD5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1C-4EEB-AEE9-683386FCD51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41C-4EEB-AEE9-683386FCD51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41C-4EEB-AEE9-683386FCD51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41C-4EEB-AEE9-683386FCD51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41C-4EEB-AEE9-683386FCD51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41C-4EEB-AEE9-683386FCD51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 3 - Financial Management'!$A$48,'Part 3 - Financial Management'!$A$50:$A$55)</c:f>
              <c:strCache>
                <c:ptCount val="7"/>
                <c:pt idx="0">
                  <c:v>a) Inventories</c:v>
                </c:pt>
                <c:pt idx="1">
                  <c:v>  b.i) Investments</c:v>
                </c:pt>
                <c:pt idx="2">
                  <c:v>  b.ii) Trade Receivables</c:v>
                </c:pt>
                <c:pt idx="3">
                  <c:v>  b.iii) Cash and Cash Equivalents</c:v>
                </c:pt>
                <c:pt idx="4">
                  <c:v>  b.iv) Bank Balances (Other than Cash and Cash eq.)</c:v>
                </c:pt>
                <c:pt idx="5">
                  <c:v>  b.v) Other Current Financial Assets</c:v>
                </c:pt>
                <c:pt idx="6">
                  <c:v>c) Other Current Assets</c:v>
                </c:pt>
              </c:strCache>
            </c:strRef>
          </c:cat>
          <c:val>
            <c:numRef>
              <c:f>('Part 3 - Financial Management'!$B$48,'Part 3 - Financial Management'!$B$50:$B$55)</c:f>
              <c:numCache>
                <c:formatCode>_("₹"* #,##0.00_);_("₹"* \(#,##0.00\);_("₹"* "-"??_);_(@_)</c:formatCode>
                <c:ptCount val="7"/>
                <c:pt idx="0">
                  <c:v>5044.37</c:v>
                </c:pt>
                <c:pt idx="1">
                  <c:v>1.25</c:v>
                </c:pt>
                <c:pt idx="2">
                  <c:v>153.79</c:v>
                </c:pt>
                <c:pt idx="3">
                  <c:v>355.48</c:v>
                </c:pt>
                <c:pt idx="4">
                  <c:v>2.72</c:v>
                </c:pt>
                <c:pt idx="5">
                  <c:v>528.36</c:v>
                </c:pt>
                <c:pt idx="6">
                  <c:v>306.23</c:v>
                </c:pt>
              </c:numCache>
            </c:numRef>
          </c:val>
          <c:extLst>
            <c:ext xmlns:c16="http://schemas.microsoft.com/office/drawing/2014/chart" uri="{C3380CC4-5D6E-409C-BE32-E72D297353CC}">
              <c16:uniqueId val="{00000000-AD33-42BE-87C0-D4C672D76CDE}"/>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Components of Current Liabilities</a:t>
            </a:r>
            <a:r>
              <a:rPr lang="en-US" baseline="0"/>
              <a:t> in FY '25</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D52-40FE-9737-266AFCC800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D52-40FE-9737-266AFCC800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D52-40FE-9737-266AFCC800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D52-40FE-9737-266AFCC8001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D52-40FE-9737-266AFCC8001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D52-40FE-9737-266AFCC8001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D52-40FE-9737-266AFCC8001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 3 - Financial Management'!$A$61,'Part 3 - Financial Management'!$A$63:$A$68)</c:f>
              <c:strCache>
                <c:ptCount val="7"/>
                <c:pt idx="0">
                  <c:v>  a.i) Lease Liabilities</c:v>
                </c:pt>
                <c:pt idx="1">
                  <c:v>    Micro and Small Enterprises</c:v>
                </c:pt>
                <c:pt idx="2">
                  <c:v>    Other than Micro and Small Enterprises</c:v>
                </c:pt>
                <c:pt idx="3">
                  <c:v>  a.iii) Other Current Financial Liabilities</c:v>
                </c:pt>
                <c:pt idx="4">
                  <c:v>b) Other Current Liabilities</c:v>
                </c:pt>
                <c:pt idx="5">
                  <c:v>c) Provisions</c:v>
                </c:pt>
                <c:pt idx="6">
                  <c:v>d) Current Tax Liabilities (Net)</c:v>
                </c:pt>
              </c:strCache>
            </c:strRef>
          </c:cat>
          <c:val>
            <c:numRef>
              <c:f>('Part 3 - Financial Management'!$B$61,'Part 3 - Financial Management'!$B$63:$B$68)</c:f>
              <c:numCache>
                <c:formatCode>_("₹"* #,##0.00_);_("₹"* \(#,##0.00\);_("₹"* "-"??_);_(@_)</c:formatCode>
                <c:ptCount val="7"/>
                <c:pt idx="0">
                  <c:v>263.83</c:v>
                </c:pt>
                <c:pt idx="1">
                  <c:v>289.52999999999997</c:v>
                </c:pt>
                <c:pt idx="2">
                  <c:v>781.28</c:v>
                </c:pt>
                <c:pt idx="3">
                  <c:v>448.64</c:v>
                </c:pt>
                <c:pt idx="4">
                  <c:v>138.62</c:v>
                </c:pt>
                <c:pt idx="5">
                  <c:v>49.14</c:v>
                </c:pt>
                <c:pt idx="6">
                  <c:v>241.12</c:v>
                </c:pt>
              </c:numCache>
            </c:numRef>
          </c:val>
          <c:extLst>
            <c:ext xmlns:c16="http://schemas.microsoft.com/office/drawing/2014/chart" uri="{C3380CC4-5D6E-409C-BE32-E72D297353CC}">
              <c16:uniqueId val="{00000000-E0B1-46AC-95A0-DF6185A29DB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91440</xdr:colOff>
      <xdr:row>7</xdr:row>
      <xdr:rowOff>160020</xdr:rowOff>
    </xdr:from>
    <xdr:to>
      <xdr:col>8</xdr:col>
      <xdr:colOff>636270</xdr:colOff>
      <xdr:row>12</xdr:row>
      <xdr:rowOff>38100</xdr:rowOff>
    </xdr:to>
    <xdr:sp macro="" textlink="">
      <xdr:nvSpPr>
        <xdr:cNvPr id="2" name="TextBox 1">
          <a:extLst>
            <a:ext uri="{FF2B5EF4-FFF2-40B4-BE49-F238E27FC236}">
              <a16:creationId xmlns:a16="http://schemas.microsoft.com/office/drawing/2014/main" id="{FE9D2AD2-418E-807D-C35F-DE6EA1E395BF}"/>
            </a:ext>
          </a:extLst>
        </xdr:cNvPr>
        <xdr:cNvSpPr txBox="1"/>
      </xdr:nvSpPr>
      <xdr:spPr>
        <a:xfrm>
          <a:off x="91440" y="1912620"/>
          <a:ext cx="5665470"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DMart features a balanced board with no CEO duality, improved independence, and reputable professionals in key roles. Governance structures and controls minimize information asymmetry. Recent lawsuits posed minor operational risk but had no material financial impact.</a:t>
          </a:r>
          <a:endParaRPr lang="en-IN" sz="1100"/>
        </a:p>
      </xdr:txBody>
    </xdr:sp>
    <xdr:clientData/>
  </xdr:twoCellAnchor>
  <xdr:twoCellAnchor>
    <xdr:from>
      <xdr:col>0</xdr:col>
      <xdr:colOff>83820</xdr:colOff>
      <xdr:row>14</xdr:row>
      <xdr:rowOff>140970</xdr:rowOff>
    </xdr:from>
    <xdr:to>
      <xdr:col>9</xdr:col>
      <xdr:colOff>118110</xdr:colOff>
      <xdr:row>19</xdr:row>
      <xdr:rowOff>76200</xdr:rowOff>
    </xdr:to>
    <xdr:sp macro="" textlink="">
      <xdr:nvSpPr>
        <xdr:cNvPr id="3" name="TextBox 2">
          <a:extLst>
            <a:ext uri="{FF2B5EF4-FFF2-40B4-BE49-F238E27FC236}">
              <a16:creationId xmlns:a16="http://schemas.microsoft.com/office/drawing/2014/main" id="{4078E7A1-DA40-E001-7F04-14C5D18CCA5E}"/>
            </a:ext>
          </a:extLst>
        </xdr:cNvPr>
        <xdr:cNvSpPr txBox="1"/>
      </xdr:nvSpPr>
      <xdr:spPr>
        <a:xfrm>
          <a:off x="83820" y="3188970"/>
          <a:ext cx="5795010" cy="849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DMart’s 2017 IPO was highly successful, marked by strong oversubscription and significant first-day gains, indicating both effective pricing for investors and room for higher fundraising by the company. Proceeds were efficiently allocated to debt repayment and store expansion, supporting the company’s long-term growth ambitions.</a:t>
          </a:r>
          <a:endParaRPr lang="en-IN" sz="1100"/>
        </a:p>
      </xdr:txBody>
    </xdr:sp>
    <xdr:clientData/>
  </xdr:twoCellAnchor>
  <xdr:twoCellAnchor>
    <xdr:from>
      <xdr:col>0</xdr:col>
      <xdr:colOff>49530</xdr:colOff>
      <xdr:row>21</xdr:row>
      <xdr:rowOff>133350</xdr:rowOff>
    </xdr:from>
    <xdr:to>
      <xdr:col>9</xdr:col>
      <xdr:colOff>125730</xdr:colOff>
      <xdr:row>27</xdr:row>
      <xdr:rowOff>7620</xdr:rowOff>
    </xdr:to>
    <xdr:sp macro="" textlink="">
      <xdr:nvSpPr>
        <xdr:cNvPr id="4" name="TextBox 3">
          <a:extLst>
            <a:ext uri="{FF2B5EF4-FFF2-40B4-BE49-F238E27FC236}">
              <a16:creationId xmlns:a16="http://schemas.microsoft.com/office/drawing/2014/main" id="{BCE720C6-B990-C37A-3273-171768169E6A}"/>
            </a:ext>
          </a:extLst>
        </xdr:cNvPr>
        <xdr:cNvSpPr txBox="1"/>
      </xdr:nvSpPr>
      <xdr:spPr>
        <a:xfrm>
          <a:off x="49530" y="3729990"/>
          <a:ext cx="5836920" cy="971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The company has demonstrated prudent financial stewardship, with aggressive yet sustainable capital investment (~24% YoY increase in CapEx), minimal reliance on external debt, and a conservative capital structure. Working capital remains positive and mainly funded through internal accruals and supplier credit. DCF-based valuation suggests the stock trades at a substantial premium, reflective of high market growth expectations.</a:t>
          </a:r>
          <a:endParaRPr lang="en-IN" sz="1100"/>
        </a:p>
      </xdr:txBody>
    </xdr:sp>
    <xdr:clientData/>
  </xdr:twoCellAnchor>
  <xdr:twoCellAnchor>
    <xdr:from>
      <xdr:col>0</xdr:col>
      <xdr:colOff>156210</xdr:colOff>
      <xdr:row>2</xdr:row>
      <xdr:rowOff>22860</xdr:rowOff>
    </xdr:from>
    <xdr:to>
      <xdr:col>9</xdr:col>
      <xdr:colOff>57150</xdr:colOff>
      <xdr:row>5</xdr:row>
      <xdr:rowOff>22860</xdr:rowOff>
    </xdr:to>
    <xdr:sp macro="" textlink="">
      <xdr:nvSpPr>
        <xdr:cNvPr id="5" name="TextBox 4">
          <a:extLst>
            <a:ext uri="{FF2B5EF4-FFF2-40B4-BE49-F238E27FC236}">
              <a16:creationId xmlns:a16="http://schemas.microsoft.com/office/drawing/2014/main" id="{0093EEB6-ADBE-A499-729A-1B0426BC0F5E}"/>
            </a:ext>
          </a:extLst>
        </xdr:cNvPr>
        <xdr:cNvSpPr txBox="1"/>
      </xdr:nvSpPr>
      <xdr:spPr>
        <a:xfrm>
          <a:off x="156210" y="541020"/>
          <a:ext cx="566166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Avenue Supermarts Ltd. (DMart) stands out as a premier Indian retailer, operationally and financially robust. This project examines the company’s corporate governance structure, IPO journey, and core financial management practices.</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195262</xdr:colOff>
      <xdr:row>3</xdr:row>
      <xdr:rowOff>168730</xdr:rowOff>
    </xdr:from>
    <xdr:to>
      <xdr:col>2</xdr:col>
      <xdr:colOff>2505075</xdr:colOff>
      <xdr:row>20</xdr:row>
      <xdr:rowOff>28575</xdr:rowOff>
    </xdr:to>
    <xdr:sp macro="" textlink="">
      <xdr:nvSpPr>
        <xdr:cNvPr id="2" name="TextBox 1">
          <a:extLst>
            <a:ext uri="{FF2B5EF4-FFF2-40B4-BE49-F238E27FC236}">
              <a16:creationId xmlns:a16="http://schemas.microsoft.com/office/drawing/2014/main" id="{28FFCF1B-A7D9-89CA-F7D4-232382432E43}"/>
            </a:ext>
          </a:extLst>
        </xdr:cNvPr>
        <xdr:cNvSpPr txBox="1"/>
      </xdr:nvSpPr>
      <xdr:spPr>
        <a:xfrm>
          <a:off x="195262" y="806905"/>
          <a:ext cx="7500938" cy="29364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Avenue Supermarts Limited, better known as </a:t>
          </a:r>
          <a:r>
            <a:rPr lang="en-IN" b="1"/>
            <a:t>DMart</a:t>
          </a:r>
          <a:r>
            <a:rPr lang="en-IN"/>
            <a:t>, is one of India’s most admired retail success stories. Started in </a:t>
          </a:r>
          <a:r>
            <a:rPr lang="en-IN" b="1"/>
            <a:t>2002</a:t>
          </a:r>
          <a:r>
            <a:rPr lang="en-IN"/>
            <a:t> by investor and entrepreneur </a:t>
          </a:r>
          <a:r>
            <a:rPr lang="en-IN" b="1"/>
            <a:t>Radhakishan Damani</a:t>
          </a:r>
          <a:r>
            <a:rPr lang="en-IN"/>
            <a:t>, the company has built a strong reputation for offering everyday household essentials at consistently low prices. Over the years, DMart has expanded to </a:t>
          </a:r>
          <a:r>
            <a:rPr lang="en-IN" b="1"/>
            <a:t>350+ stores</a:t>
          </a:r>
          <a:r>
            <a:rPr lang="en-IN"/>
            <a:t> across India, following a very disciplined and steady growth approach.</a:t>
          </a:r>
        </a:p>
        <a:p>
          <a:endParaRPr lang="en-IN"/>
        </a:p>
        <a:p>
          <a:r>
            <a:rPr lang="en-IN"/>
            <a:t>The company’s business model is simple but extremely effective: focus on </a:t>
          </a:r>
          <a:r>
            <a:rPr lang="en-IN" b="1"/>
            <a:t>value retailing</a:t>
          </a:r>
          <a:r>
            <a:rPr lang="en-IN"/>
            <a:t>, keep costs low, maintain tight control over inventory, and pass on savings to customers. This approach has helped DMart become one of the most profitable and efficient retailers in the country, with high inventory turnover, strong vendor relationships, and a loyal customer base.</a:t>
          </a:r>
        </a:p>
        <a:p>
          <a:endParaRPr lang="en-IN"/>
        </a:p>
        <a:p>
          <a:r>
            <a:rPr lang="en-IN"/>
            <a:t>Although DMart is promoter-controlled, it is </a:t>
          </a:r>
          <a:r>
            <a:rPr lang="en-IN" b="1"/>
            <a:t>professionally managed</a:t>
          </a:r>
          <a:r>
            <a:rPr lang="en-IN"/>
            <a:t>, with </a:t>
          </a:r>
          <a:r>
            <a:rPr lang="en-IN" b="1"/>
            <a:t>Mr. Ignatius Navil Noronha</a:t>
          </a:r>
          <a:r>
            <a:rPr lang="en-IN"/>
            <a:t> leading the company as MD &amp; CEO. The firm is known for its conservative financial strategy, low debt, and long-term thinking. Since its hugely successful </a:t>
          </a:r>
          <a:r>
            <a:rPr lang="en-IN" b="1"/>
            <a:t>2017 IPO</a:t>
          </a:r>
          <a:r>
            <a:rPr lang="en-IN"/>
            <a:t>, DMart has consistently delivered strong financial performance and continues to be regarded as a benchmark for operational excellence in Indian retail.</a:t>
          </a:r>
        </a:p>
      </xdr:txBody>
    </xdr:sp>
    <xdr:clientData/>
  </xdr:twoCellAnchor>
  <xdr:twoCellAnchor>
    <xdr:from>
      <xdr:col>0</xdr:col>
      <xdr:colOff>54430</xdr:colOff>
      <xdr:row>42</xdr:row>
      <xdr:rowOff>97971</xdr:rowOff>
    </xdr:from>
    <xdr:to>
      <xdr:col>3</xdr:col>
      <xdr:colOff>857251</xdr:colOff>
      <xdr:row>65</xdr:row>
      <xdr:rowOff>57149</xdr:rowOff>
    </xdr:to>
    <xdr:sp macro="" textlink="">
      <xdr:nvSpPr>
        <xdr:cNvPr id="3" name="TextBox 2">
          <a:extLst>
            <a:ext uri="{FF2B5EF4-FFF2-40B4-BE49-F238E27FC236}">
              <a16:creationId xmlns:a16="http://schemas.microsoft.com/office/drawing/2014/main" id="{9D43EE70-5730-A038-53F6-1CF6FA8FECED}"/>
            </a:ext>
          </a:extLst>
        </xdr:cNvPr>
        <xdr:cNvSpPr txBox="1"/>
      </xdr:nvSpPr>
      <xdr:spPr>
        <a:xfrm>
          <a:off x="54430" y="7832271"/>
          <a:ext cx="8603796" cy="412160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 Size of the Board?</a:t>
          </a:r>
        </a:p>
        <a:p>
          <a:r>
            <a:rPr lang="en-IN" sz="1100"/>
            <a:t>The</a:t>
          </a:r>
          <a:r>
            <a:rPr lang="en-IN" sz="1100" baseline="0"/>
            <a:t> size of the board is 8. The board comprises of 4 executive directors, 3 non-executive independent directors and 1 non-executive non-independent director. (as of 31st March 2025)</a:t>
          </a:r>
          <a:endParaRPr lang="en-IN" sz="1100"/>
        </a:p>
        <a:p>
          <a:endParaRPr lang="en-IN" sz="1100"/>
        </a:p>
        <a:p>
          <a:r>
            <a:rPr lang="en-IN" sz="1100" b="1"/>
            <a:t>Q. Is there CEO Duality within the company?</a:t>
          </a:r>
        </a:p>
        <a:p>
          <a:r>
            <a:rPr lang="en-IN" sz="1100"/>
            <a:t>No.</a:t>
          </a:r>
          <a:r>
            <a:rPr lang="en-IN" sz="1100" baseline="0"/>
            <a:t> There is no CEO duality at Avenue Supermarkets. The CEO (Mr. Ignatius Navil Noronha) and the Chairman (Mr. Chandrashekhar B. Bhave) of the company are different persons.</a:t>
          </a:r>
          <a:endParaRPr lang="en-IN" sz="1100"/>
        </a:p>
        <a:p>
          <a:endParaRPr lang="en-IN" sz="1100"/>
        </a:p>
        <a:p>
          <a:r>
            <a:rPr lang="en-IN" sz="1100" b="1"/>
            <a:t>Q. How is the</a:t>
          </a:r>
          <a:r>
            <a:rPr lang="en-IN" sz="1100" b="1" baseline="0"/>
            <a:t> absence of CEO duality affecting the decision-making of the company?</a:t>
          </a:r>
          <a:endParaRPr lang="en-IN" sz="1100" b="1"/>
        </a:p>
        <a:p>
          <a:r>
            <a:rPr lang="en-IN" sz="1100"/>
            <a:t>Absence of CEO duality improves</a:t>
          </a:r>
          <a:r>
            <a:rPr lang="en-IN" sz="1100" baseline="0"/>
            <a:t> board independence and reduces the risk of managerial entrenchment. The chairman of the board can focus on governance, board processes, etc. while the CEO can focus on operations of the firm. This structure reduces information asymmetry and strengthens the monitoring of the management.</a:t>
          </a:r>
          <a:endParaRPr lang="en-IN" sz="1100"/>
        </a:p>
        <a:p>
          <a:endParaRPr lang="en-IN" sz="1100"/>
        </a:p>
        <a:p>
          <a:r>
            <a:rPr lang="en-IN" sz="1100" b="1"/>
            <a:t>Q. Gender diversity represented on the company's board?</a:t>
          </a:r>
        </a:p>
        <a:p>
          <a:r>
            <a:rPr lang="en-IN" sz="1100"/>
            <a:t>There</a:t>
          </a:r>
          <a:r>
            <a:rPr lang="en-IN" sz="1100" baseline="0"/>
            <a:t> are 2 women out of a total of 8 board members. (~25% of the board is represented by women directors), above the mandatory one-woman director requirement, though still less than parity.</a:t>
          </a:r>
          <a:endParaRPr lang="en-IN" sz="1100"/>
        </a:p>
        <a:p>
          <a:endParaRPr lang="en-IN" sz="1100"/>
        </a:p>
        <a:p>
          <a:r>
            <a:rPr lang="en-IN" sz="1100" b="1"/>
            <a:t>Q. Total number of independent directors on the board?</a:t>
          </a:r>
        </a:p>
        <a:p>
          <a:r>
            <a:rPr lang="en-IN" sz="1100"/>
            <a:t>There</a:t>
          </a:r>
          <a:r>
            <a:rPr lang="en-IN" sz="1100" baseline="0"/>
            <a:t> are a total of 3 independent directors on the board of Avenue Supermarts Ltd, together representing close to ~37.5% of the company's board.</a:t>
          </a:r>
          <a:endParaRPr lang="en-IN" sz="1100"/>
        </a:p>
        <a:p>
          <a:endParaRPr lang="en-IN" sz="1100"/>
        </a:p>
        <a:p>
          <a:r>
            <a:rPr lang="en-IN" sz="1100" b="1"/>
            <a:t>Q. Brief background of the executive and non-executive directors - age, experience, qualification, competence, etc.</a:t>
          </a:r>
        </a:p>
        <a:p>
          <a:r>
            <a:rPr lang="en-IN" sz="1100" b="0" i="1"/>
            <a:t>Refer</a:t>
          </a:r>
          <a:r>
            <a:rPr lang="en-IN" sz="1100" b="0" i="1" baseline="0"/>
            <a:t> to Director Profiles table below.</a:t>
          </a:r>
          <a:endParaRPr lang="en-IN" sz="1100" b="0" i="1"/>
        </a:p>
      </xdr:txBody>
    </xdr:sp>
    <xdr:clientData/>
  </xdr:twoCellAnchor>
  <xdr:twoCellAnchor>
    <xdr:from>
      <xdr:col>3</xdr:col>
      <xdr:colOff>1273176</xdr:colOff>
      <xdr:row>43</xdr:row>
      <xdr:rowOff>57150</xdr:rowOff>
    </xdr:from>
    <xdr:to>
      <xdr:col>5</xdr:col>
      <xdr:colOff>1085851</xdr:colOff>
      <xdr:row>59</xdr:row>
      <xdr:rowOff>19050</xdr:rowOff>
    </xdr:to>
    <xdr:graphicFrame macro="">
      <xdr:nvGraphicFramePr>
        <xdr:cNvPr id="8" name="Chart 7">
          <a:extLst>
            <a:ext uri="{FF2B5EF4-FFF2-40B4-BE49-F238E27FC236}">
              <a16:creationId xmlns:a16="http://schemas.microsoft.com/office/drawing/2014/main" id="{0FB67AF9-981C-1F8B-D6D8-315B774F6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314324</xdr:colOff>
      <xdr:row>134</xdr:row>
      <xdr:rowOff>57150</xdr:rowOff>
    </xdr:from>
    <xdr:to>
      <xdr:col>2</xdr:col>
      <xdr:colOff>1947863</xdr:colOff>
      <xdr:row>147</xdr:row>
      <xdr:rowOff>128587</xdr:rowOff>
    </xdr:to>
    <xdr:sp macro="" textlink="">
      <xdr:nvSpPr>
        <xdr:cNvPr id="9" name="TextBox 8">
          <a:extLst>
            <a:ext uri="{FF2B5EF4-FFF2-40B4-BE49-F238E27FC236}">
              <a16:creationId xmlns:a16="http://schemas.microsoft.com/office/drawing/2014/main" id="{B455C421-167B-EA08-E2F3-9BFC5E594B2D}"/>
            </a:ext>
          </a:extLst>
        </xdr:cNvPr>
        <xdr:cNvSpPr txBox="1"/>
      </xdr:nvSpPr>
      <xdr:spPr>
        <a:xfrm>
          <a:off x="314324" y="29303663"/>
          <a:ext cx="6824664" cy="242411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 Our assessment on information asymmetry between the board and the management.</a:t>
          </a:r>
        </a:p>
        <a:p>
          <a:endParaRPr lang="en-IN" sz="1100" b="1"/>
        </a:p>
        <a:p>
          <a:r>
            <a:rPr lang="en-IN" b="0"/>
            <a:t>Avenue Supermarts is a promoter-controlled but professionally managed company, which means there is always some scope for information asymmetry, since senior management has deeper operational knowledge than the Board. However, this gap is largely reduced because the company has an independent Chairman, a strong group of independent directors, and well-functioning Audit and Risk Committees that regularly review financials, controls, and key business decisions.</a:t>
          </a:r>
        </a:p>
        <a:p>
          <a:endParaRPr lang="en-IN" b="0"/>
        </a:p>
        <a:p>
          <a:r>
            <a:rPr lang="en-IN" b="0"/>
            <a:t>Additionally, the statutory auditors issue a clean, unmodified opinion every year, confirming that disclosures and internal controls are reliable. As a result, while minor information gaps are natural in any large organisation, Avenue Supermarts’ governance structure ensures that information asymmetry between the Board and management remains low and well-managed.</a:t>
          </a:r>
        </a:p>
      </xdr:txBody>
    </xdr:sp>
    <xdr:clientData/>
  </xdr:twoCellAnchor>
  <xdr:twoCellAnchor>
    <xdr:from>
      <xdr:col>0</xdr:col>
      <xdr:colOff>290648</xdr:colOff>
      <xdr:row>120</xdr:row>
      <xdr:rowOff>38100</xdr:rowOff>
    </xdr:from>
    <xdr:to>
      <xdr:col>2</xdr:col>
      <xdr:colOff>2524125</xdr:colOff>
      <xdr:row>128</xdr:row>
      <xdr:rowOff>-1</xdr:rowOff>
    </xdr:to>
    <xdr:sp macro="" textlink="">
      <xdr:nvSpPr>
        <xdr:cNvPr id="10" name="TextBox 9">
          <a:extLst>
            <a:ext uri="{FF2B5EF4-FFF2-40B4-BE49-F238E27FC236}">
              <a16:creationId xmlns:a16="http://schemas.microsoft.com/office/drawing/2014/main" id="{113953B8-D6A5-311D-C71D-D2E45D750940}"/>
            </a:ext>
          </a:extLst>
        </xdr:cNvPr>
        <xdr:cNvSpPr txBox="1"/>
      </xdr:nvSpPr>
      <xdr:spPr>
        <a:xfrm>
          <a:off x="290648" y="28917900"/>
          <a:ext cx="7424602" cy="140969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Brief description about the lawsuits filed against the company.</a:t>
          </a:r>
        </a:p>
        <a:p>
          <a:endParaRPr lang="en-IN" sz="1100" b="0"/>
        </a:p>
        <a:p>
          <a:r>
            <a:rPr lang="en-IN" b="0"/>
            <a:t>Although DMart faces some consumer &amp; regulatory disputes, none of the litigations listed are of material magnitude (i.e., none involve very large sums relative to the company’s size). The brand/IP dispute was resolved favourably. The operational consumer-cases reflect typical retail risk, and the municipal land case underscores property risks inherent in store expansion. Overall the litigation profile appears manageable.</a:t>
          </a:r>
          <a:endParaRPr lang="en-IN" sz="1100" b="0"/>
        </a:p>
      </xdr:txBody>
    </xdr:sp>
    <xdr:clientData/>
  </xdr:twoCellAnchor>
  <xdr:twoCellAnchor>
    <xdr:from>
      <xdr:col>0</xdr:col>
      <xdr:colOff>216459</xdr:colOff>
      <xdr:row>93</xdr:row>
      <xdr:rowOff>99332</xdr:rowOff>
    </xdr:from>
    <xdr:to>
      <xdr:col>2</xdr:col>
      <xdr:colOff>2314576</xdr:colOff>
      <xdr:row>107</xdr:row>
      <xdr:rowOff>114300</xdr:rowOff>
    </xdr:to>
    <xdr:sp macro="" textlink="">
      <xdr:nvSpPr>
        <xdr:cNvPr id="4" name="TextBox 3">
          <a:extLst>
            <a:ext uri="{FF2B5EF4-FFF2-40B4-BE49-F238E27FC236}">
              <a16:creationId xmlns:a16="http://schemas.microsoft.com/office/drawing/2014/main" id="{51D5DAA5-815C-6834-6735-C67A1587D06B}"/>
            </a:ext>
          </a:extLst>
        </xdr:cNvPr>
        <xdr:cNvSpPr txBox="1"/>
      </xdr:nvSpPr>
      <xdr:spPr>
        <a:xfrm>
          <a:off x="216459" y="20968607"/>
          <a:ext cx="7289242" cy="2548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 The Auditor's experience regarding truthfulness and reliability of the accounting practices of the company.</a:t>
          </a:r>
        </a:p>
        <a:p>
          <a:endParaRPr lang="en-IN" sz="1100" b="0"/>
        </a:p>
        <a:p>
          <a:r>
            <a:rPr lang="en-IN"/>
            <a:t>The auditors issued an </a:t>
          </a:r>
          <a:r>
            <a:rPr lang="en-IN" i="1"/>
            <a:t>unmodified (clean) opinion</a:t>
          </a:r>
          <a:r>
            <a:rPr lang="en-IN"/>
            <a:t>, confirming that the financial statements present </a:t>
          </a:r>
          <a:r>
            <a:rPr lang="en-IN" b="1"/>
            <a:t>a true and fair view</a:t>
          </a:r>
          <a:r>
            <a:rPr lang="en-IN"/>
            <a:t> of the company’s performance and financial position. They reported </a:t>
          </a:r>
          <a:r>
            <a:rPr lang="en-IN" i="1"/>
            <a:t>no qualifications, no adverse remarks, and no fraud observations</a:t>
          </a:r>
          <a:r>
            <a:rPr lang="en-IN"/>
            <a:t>.</a:t>
          </a:r>
        </a:p>
        <a:p>
          <a:endParaRPr lang="en-IN"/>
        </a:p>
        <a:p>
          <a:r>
            <a:rPr lang="en-IN"/>
            <a:t>As per Annexure 1 of the audit report, the auditors also concluded that the company’s </a:t>
          </a:r>
          <a:r>
            <a:rPr lang="en-IN" i="1"/>
            <a:t>internal financial controls are adequate and operating effectively</a:t>
          </a:r>
          <a:r>
            <a:rPr lang="en-IN"/>
            <a:t>, with no material weaknesses identified.</a:t>
          </a:r>
        </a:p>
        <a:p>
          <a:endParaRPr lang="en-IN"/>
        </a:p>
        <a:p>
          <a:r>
            <a:rPr lang="en-IN"/>
            <a:t>Key audit matters such as inventory valuation, revenue recognition, and PPE were reviewed extensively, and no irregularities or exceptions were found. This indicates strong governance, robust systems, and high-quality financial reporting by Avenue Supermarts.</a:t>
          </a:r>
        </a:p>
        <a:p>
          <a:endParaRPr lang="en-IN" sz="1100" b="0"/>
        </a:p>
      </xdr:txBody>
    </xdr:sp>
    <xdr:clientData/>
  </xdr:twoCellAnchor>
  <xdr:twoCellAnchor>
    <xdr:from>
      <xdr:col>0</xdr:col>
      <xdr:colOff>213360</xdr:colOff>
      <xdr:row>21</xdr:row>
      <xdr:rowOff>61384</xdr:rowOff>
    </xdr:from>
    <xdr:to>
      <xdr:col>2</xdr:col>
      <xdr:colOff>2247900</xdr:colOff>
      <xdr:row>27</xdr:row>
      <xdr:rowOff>38099</xdr:rowOff>
    </xdr:to>
    <xdr:sp macro="" textlink="">
      <xdr:nvSpPr>
        <xdr:cNvPr id="5" name="TextBox 4">
          <a:extLst>
            <a:ext uri="{FF2B5EF4-FFF2-40B4-BE49-F238E27FC236}">
              <a16:creationId xmlns:a16="http://schemas.microsoft.com/office/drawing/2014/main" id="{99440CD8-A197-B361-0B62-9D60350B1EC5}"/>
            </a:ext>
          </a:extLst>
        </xdr:cNvPr>
        <xdr:cNvSpPr txBox="1"/>
      </xdr:nvSpPr>
      <xdr:spPr>
        <a:xfrm>
          <a:off x="213360" y="3957109"/>
          <a:ext cx="7225665" cy="106256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 Is it a family run business?</a:t>
          </a:r>
        </a:p>
        <a:p>
          <a:endParaRPr lang="en-IN" sz="1100" b="0"/>
        </a:p>
        <a:p>
          <a:r>
            <a:rPr lang="en-IN" sz="1100" b="0"/>
            <a:t>It is a</a:t>
          </a:r>
          <a:r>
            <a:rPr lang="en-IN" sz="1100" b="0" baseline="0"/>
            <a:t> family controlled business, but managed by professionals.</a:t>
          </a:r>
          <a:r>
            <a:rPr lang="en-IN" sz="1100" b="0"/>
            <a:t> T</a:t>
          </a:r>
          <a:r>
            <a:rPr lang="en-IN" sz="1100" b="0" baseline="0"/>
            <a:t>he promoter family retains almost 75% of equity in the company. Despite this, there is only 1 family member on the board of the firm (Mrs. Manjiri Chandak), and all the other senior executive positions are held by professionals and not family members.</a:t>
          </a:r>
          <a:endParaRPr lang="en-IN"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163512</xdr:colOff>
      <xdr:row>23</xdr:row>
      <xdr:rowOff>87314</xdr:rowOff>
    </xdr:from>
    <xdr:to>
      <xdr:col>2</xdr:col>
      <xdr:colOff>492125</xdr:colOff>
      <xdr:row>106</xdr:row>
      <xdr:rowOff>9526</xdr:rowOff>
    </xdr:to>
    <xdr:sp macro="" textlink="">
      <xdr:nvSpPr>
        <xdr:cNvPr id="3" name="TextBox 2">
          <a:extLst>
            <a:ext uri="{FF2B5EF4-FFF2-40B4-BE49-F238E27FC236}">
              <a16:creationId xmlns:a16="http://schemas.microsoft.com/office/drawing/2014/main" id="{D0878B6E-9143-9D70-2589-2E88D79528B3}"/>
            </a:ext>
          </a:extLst>
        </xdr:cNvPr>
        <xdr:cNvSpPr txBox="1"/>
      </xdr:nvSpPr>
      <xdr:spPr>
        <a:xfrm>
          <a:off x="163512" y="12746039"/>
          <a:ext cx="7077076" cy="971391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a:t>
          </a:r>
          <a:r>
            <a:rPr lang="en-IN" sz="1100" b="1" baseline="0"/>
            <a:t> Shareholding pattern before and after the IPO.</a:t>
          </a:r>
        </a:p>
        <a:p>
          <a:endParaRPr lang="en-IN" sz="1100" b="0"/>
        </a:p>
        <a:p>
          <a:r>
            <a:rPr lang="en-IN" sz="1100" b="0"/>
            <a:t>Before IPO:</a:t>
          </a:r>
        </a:p>
        <a:p>
          <a:r>
            <a:rPr lang="en-IN" sz="1100" b="0"/>
            <a:t>Promoters and promoter group owned a very high stake, roughly ~91.3% of equity (i.e., the public float was small).</a:t>
          </a:r>
        </a:p>
        <a:p>
          <a:endParaRPr lang="en-IN" sz="1100" b="0"/>
        </a:p>
        <a:p>
          <a:r>
            <a:rPr lang="en-IN" sz="1100" b="0"/>
            <a:t>After IPO (post-fresh-issue): </a:t>
          </a:r>
        </a:p>
        <a:p>
          <a:r>
            <a:rPr lang="en-IN" sz="1100" b="0"/>
            <a:t>Promoter stake was diluted to approximately ~82.2%, while public shareholding (free float) increased to ~17.8%.</a:t>
          </a:r>
        </a:p>
        <a:p>
          <a:endParaRPr lang="en-IN" sz="1100" b="0"/>
        </a:p>
        <a:p>
          <a:r>
            <a:rPr lang="en-IN" sz="1100" b="0"/>
            <a:t>Implication: </a:t>
          </a:r>
        </a:p>
        <a:p>
          <a:r>
            <a:rPr lang="en-IN" sz="1100" b="0"/>
            <a:t>Because the offering was fresh issue only, promoters retained majority control post-IPO while allowing the public to hold a meaningful free float, this is a common route when promoters want capital for growth but wish to retain control.</a:t>
          </a:r>
        </a:p>
        <a:p>
          <a:endParaRPr lang="en-IN" sz="1100" b="1"/>
        </a:p>
        <a:p>
          <a:endParaRPr lang="en-IN" sz="1100" b="1"/>
        </a:p>
        <a:p>
          <a:r>
            <a:rPr lang="en-IN" sz="1100" b="1"/>
            <a:t>Q. Did the IPO provide exit routes to PE/VC/Angel investors? Who?</a:t>
          </a:r>
        </a:p>
        <a:p>
          <a:endParaRPr lang="en-IN" sz="1100" b="1"/>
        </a:p>
        <a:p>
          <a:r>
            <a:rPr lang="en-IN" sz="1100" b="0"/>
            <a:t>No. The 2017 transaction was a fresh issue only and did not include an Offer For Sale (OFS) by promoters or existing private investors. Hence no PE/VC or angel investors realized exit via this IPO. Secondary sales by promoters or other structured exits occurred later in subsequent years, but not as part of the 2017 IPO.</a:t>
          </a:r>
        </a:p>
        <a:p>
          <a:endParaRPr lang="en-IN" sz="1100" b="0"/>
        </a:p>
        <a:p>
          <a:endParaRPr lang="en-IN" sz="1100" b="0"/>
        </a:p>
        <a:p>
          <a:r>
            <a:rPr lang="en-IN" sz="1100" b="1"/>
            <a:t>Q. Total % oversubscribed?</a:t>
          </a:r>
        </a:p>
        <a:p>
          <a:endParaRPr lang="en-IN" sz="1100" b="1"/>
        </a:p>
        <a:p>
          <a:r>
            <a:rPr lang="en-IN" sz="1100" b="0"/>
            <a:t>The IPO was very strongly oversubscribed, overall subscription reported in media and exchanges was approximately 104–106 times (overall). Category-wise subscription was also very high: strong demand from QIBs (institutions) and from retail segments; the issue saw anchor allocations and robust institutional interest. Oversubscription of this scale signals very strong investor appetite relative to available shares.</a:t>
          </a:r>
        </a:p>
        <a:p>
          <a:endParaRPr lang="en-IN" sz="1100" b="0"/>
        </a:p>
        <a:p>
          <a:endParaRPr lang="en-IN" sz="1100" b="0"/>
        </a:p>
        <a:p>
          <a:r>
            <a:rPr lang="en-IN" sz="1100" b="1"/>
            <a:t>Q. Utilisation of the IPO money mobilized?</a:t>
          </a:r>
        </a:p>
        <a:p>
          <a:endParaRPr lang="en-IN" sz="1100" b="1"/>
        </a:p>
        <a:p>
          <a:r>
            <a:rPr lang="en-IN" sz="1100" b="0"/>
            <a:t>The company disclosed a specific allocation of net proceeds in the offer document. The main items were:</a:t>
          </a:r>
        </a:p>
        <a:p>
          <a:r>
            <a:rPr lang="en-IN" sz="1100" b="0"/>
            <a:t>1.Repayment / prepayment of certain borrowings and redemption of NCDs: approximately ₹1,080 crore (major portion).</a:t>
          </a:r>
        </a:p>
        <a:p>
          <a:r>
            <a:rPr lang="en-IN" sz="1100" b="0"/>
            <a:t>2.Capital expenditure for the opening and fit-out of new stores and working capital for expansion: approximately ₹366–₹367 crore.</a:t>
          </a:r>
        </a:p>
        <a:p>
          <a:r>
            <a:rPr lang="en-IN" sz="1100" b="0"/>
            <a:t>3.General corporate purposes: the residual funds.</a:t>
          </a:r>
        </a:p>
        <a:p>
          <a:r>
            <a:rPr lang="en-IN" sz="1100" b="0"/>
            <a:t>Effect / rationale: The allocation prioritized deleveraging (which improves the balance sheet and reduces interest burden) and funding expansion of the DMart store network (which supports revenue growth). This mix is typical for a growth company that also wants to improve financial flexibility.</a:t>
          </a:r>
        </a:p>
        <a:p>
          <a:endParaRPr lang="en-IN" sz="1100" b="0"/>
        </a:p>
        <a:p>
          <a:endParaRPr lang="en-IN" sz="1100" b="0"/>
        </a:p>
        <a:p>
          <a:r>
            <a:rPr lang="en-IN" sz="1100" b="1"/>
            <a:t>Q.</a:t>
          </a:r>
          <a:r>
            <a:rPr lang="en-IN" sz="1100" b="1" baseline="0"/>
            <a:t> Under-writing fees incurred during the IPO.</a:t>
          </a:r>
        </a:p>
        <a:p>
          <a:endParaRPr lang="en-IN" sz="1100" b="1" baseline="0"/>
        </a:p>
        <a:p>
          <a:r>
            <a:rPr lang="en-IN" sz="1100" b="0"/>
            <a:t>The prospectus estimated total issue expenses around ₹36 crore (≈ ₹360 million) which covered lead manager fees, underwriting/broker commissions, advertising, registrar/printing costs and other listing expenses. This is roughly ~1.9% of the gross issue size (₹1,870 crore). For a large Indian IPO, an expense ratio in the range ~1.5%–3% is typical. The line items included payments to BRLMs and transaction costs associated with distribution and compliance.</a:t>
          </a:r>
        </a:p>
        <a:p>
          <a:endParaRPr lang="en-IN" sz="1100" b="0"/>
        </a:p>
        <a:p>
          <a:endParaRPr lang="en-IN" sz="1100" b="0"/>
        </a:p>
        <a:p>
          <a:r>
            <a:rPr lang="en-IN" sz="1100" b="1">
              <a:solidFill>
                <a:schemeClr val="dk1"/>
              </a:solidFill>
              <a:effectLst/>
              <a:latin typeface="+mn-lt"/>
              <a:ea typeface="+mn-ea"/>
              <a:cs typeface="+mn-cs"/>
            </a:rPr>
            <a:t>Q. Post the IPO, has the company ever resorted to the following modes for financing its projects: crowdfunding, private equity, peer-to-peer lending, and investments by financial institutions such as commercial banks or NBFCs? No need to provide details; simply mention yes or no.</a:t>
          </a:r>
          <a:endParaRPr lang="en-IN">
            <a:effectLst/>
          </a:endParaRPr>
        </a:p>
        <a:p>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1.Crowdfunding: No.</a:t>
          </a:r>
        </a:p>
        <a:p>
          <a:r>
            <a:rPr lang="en-IN" sz="1100" b="0">
              <a:solidFill>
                <a:schemeClr val="dk1"/>
              </a:solidFill>
              <a:effectLst/>
              <a:latin typeface="+mn-lt"/>
              <a:ea typeface="+mn-ea"/>
              <a:cs typeface="+mn-cs"/>
            </a:rPr>
            <a:t>2.Private equity (PE/VC) as new money: No, the company is a listed large retailer and did not return to PE for project finance after IPO.</a:t>
          </a:r>
        </a:p>
        <a:p>
          <a:r>
            <a:rPr lang="en-IN" sz="1100" b="0">
              <a:solidFill>
                <a:schemeClr val="dk1"/>
              </a:solidFill>
              <a:effectLst/>
              <a:latin typeface="+mn-lt"/>
              <a:ea typeface="+mn-ea"/>
              <a:cs typeface="+mn-cs"/>
            </a:rPr>
            <a:t>3.Peer-to-peer lending (P2P): No.</a:t>
          </a:r>
        </a:p>
        <a:p>
          <a:r>
            <a:rPr lang="en-IN" sz="1100" b="0">
              <a:solidFill>
                <a:schemeClr val="dk1"/>
              </a:solidFill>
              <a:effectLst/>
              <a:latin typeface="+mn-lt"/>
              <a:ea typeface="+mn-ea"/>
              <a:cs typeface="+mn-cs"/>
            </a:rPr>
            <a:t>4.Financing from commercial banks / NBFCs: Yes, the company has used traditional bank financing and debt markets as needed (and had borrowings before the IPO which were partly repaid with IPO proceeds).</a:t>
          </a:r>
        </a:p>
        <a:p>
          <a:endParaRPr lang="en-IN" sz="1100" b="0">
            <a:solidFill>
              <a:schemeClr val="dk1"/>
            </a:solidFill>
            <a:effectLst/>
            <a:latin typeface="+mn-lt"/>
            <a:ea typeface="+mn-ea"/>
            <a:cs typeface="+mn-cs"/>
          </a:endParaRPr>
        </a:p>
        <a:p>
          <a:endParaRPr lang="en-IN"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Q. Whether IPO oversubscription and the extent</a:t>
          </a:r>
          <a:r>
            <a:rPr lang="en-IN" sz="1100" b="1" baseline="0">
              <a:solidFill>
                <a:schemeClr val="dk1"/>
              </a:solidFill>
              <a:effectLst/>
              <a:latin typeface="+mn-lt"/>
              <a:ea typeface="+mn-ea"/>
              <a:cs typeface="+mn-cs"/>
            </a:rPr>
            <a:t> of underpricing </a:t>
          </a:r>
          <a:r>
            <a:rPr lang="en-IN" sz="1100" b="1">
              <a:solidFill>
                <a:schemeClr val="dk1"/>
              </a:solidFill>
              <a:effectLst/>
              <a:latin typeface="+mn-lt"/>
              <a:ea typeface="+mn-ea"/>
              <a:cs typeface="+mn-cs"/>
            </a:rPr>
            <a:t>had a positive impact on the long-term price performance of the firm?</a:t>
          </a:r>
          <a:endParaRPr lang="en-IN">
            <a:effectLst/>
          </a:endParaRPr>
        </a:p>
        <a:p>
          <a:endParaRPr lang="en-IN" sz="1100" b="0" baseline="0">
            <a:solidFill>
              <a:schemeClr val="dk1"/>
            </a:solidFill>
            <a:effectLst/>
            <a:latin typeface="+mn-lt"/>
            <a:ea typeface="+mn-ea"/>
            <a:cs typeface="+mn-cs"/>
          </a:endParaRPr>
        </a:p>
        <a:p>
          <a:r>
            <a:rPr lang="en-IN">
              <a:effectLst/>
            </a:rPr>
            <a:t>Short-term (listing) outcome: The IPO was an emphatic short-term success, it was massively oversubscribed (~104–106x) and produced a ~114% first-day gain (listing pop). This rewarded investors who got allotment and signaled strong market enthusiasm.</a:t>
          </a:r>
        </a:p>
        <a:p>
          <a:endParaRPr lang="en-IN">
            <a:effectLst/>
          </a:endParaRPr>
        </a:p>
        <a:p>
          <a:r>
            <a:rPr lang="en-IN">
              <a:effectLst/>
            </a:rPr>
            <a:t>Issuer perspective: Commercially the IPO was successful because the company raised ₹1,870 crore, used proceeds to reduce debt and fund store expansion, and retained promoter control. However, the large listing pop indicates underpricing, meaning the company likely left money on the table relative to market willingness to pay. Underpricing is therefore a short-term transfer of wealth to IPO buyers but does not negate the company’s capital and strategic benefits from being public.</a:t>
          </a:r>
        </a:p>
        <a:p>
          <a:endParaRPr lang="en-IN">
            <a:effectLst/>
          </a:endParaRPr>
        </a:p>
        <a:p>
          <a:r>
            <a:rPr lang="en-IN">
              <a:effectLst/>
            </a:rPr>
            <a:t>Medium/long term performance: Post-IPO, Avenue Supermarts (DMart) executed its expansion and showed strong operational performance; the stock performed very well over subsequent years, reflecting both business execution and continued investor confidence. Thus, while underpricing favored early buyers on day one, the company still realized long-term value creation through growth and rising market valuations. In other words: oversubscription and underpricing produced a strong market debut and helped build momentum, but long-term returns were driven by fundamentals and execution which DMart delivered.</a:t>
          </a:r>
        </a:p>
        <a:p>
          <a:endParaRPr lang="en-IN">
            <a:effectLst/>
          </a:endParaRPr>
        </a:p>
        <a:p>
          <a:endParaRPr lang="en-IN"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Q. Our conclusions about the IPO being successful or not,</a:t>
          </a:r>
          <a:r>
            <a:rPr lang="en-IN" sz="1100" b="1" baseline="0">
              <a:solidFill>
                <a:schemeClr val="dk1"/>
              </a:solidFill>
              <a:effectLst/>
              <a:latin typeface="+mn-lt"/>
              <a:ea typeface="+mn-ea"/>
              <a:cs typeface="+mn-cs"/>
            </a:rPr>
            <a:t> and the company's performance post the IPO?</a:t>
          </a:r>
          <a:endParaRPr lang="en-IN" sz="1100" b="1">
            <a:solidFill>
              <a:schemeClr val="dk1"/>
            </a:solidFill>
            <a:effectLst/>
            <a:latin typeface="+mn-lt"/>
            <a:ea typeface="+mn-ea"/>
            <a:cs typeface="+mn-cs"/>
          </a:endParaRPr>
        </a:p>
        <a:p>
          <a:endParaRPr lang="en-IN">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The IPO was overall a success, it achieved capital mobilisation, improved balance sheet flexibility, and helped the company scale, while also creating significant investor returns on listing. The only economically arguable downside for the issuer was that a portion of potential capital was left on the table because of conservative pricing.</a:t>
          </a:r>
          <a:endParaRPr lang="en-IN"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113</xdr:row>
      <xdr:rowOff>59267</xdr:rowOff>
    </xdr:from>
    <xdr:to>
      <xdr:col>4</xdr:col>
      <xdr:colOff>20053</xdr:colOff>
      <xdr:row>126</xdr:row>
      <xdr:rowOff>133350</xdr:rowOff>
    </xdr:to>
    <xdr:sp macro="" textlink="">
      <xdr:nvSpPr>
        <xdr:cNvPr id="6" name="TextBox 5">
          <a:extLst>
            <a:ext uri="{FF2B5EF4-FFF2-40B4-BE49-F238E27FC236}">
              <a16:creationId xmlns:a16="http://schemas.microsoft.com/office/drawing/2014/main" id="{DE60F17F-F92C-B7DC-8897-730F7D14F7CD}"/>
            </a:ext>
          </a:extLst>
        </xdr:cNvPr>
        <xdr:cNvSpPr txBox="1"/>
      </xdr:nvSpPr>
      <xdr:spPr>
        <a:xfrm>
          <a:off x="57150" y="19409305"/>
          <a:ext cx="8182978" cy="2426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 Which assets and liabilities are the major components of working capital?</a:t>
          </a:r>
        </a:p>
        <a:p>
          <a:endParaRPr lang="en-IN" sz="1100" b="0"/>
        </a:p>
        <a:p>
          <a:r>
            <a:rPr lang="en-IN" sz="1100" b="0"/>
            <a:t>By</a:t>
          </a:r>
          <a:r>
            <a:rPr lang="en-IN" sz="1100" b="0" baseline="0"/>
            <a:t> looking at the pie charts made above for both, current assets and current liabilities, we can deduce that:</a:t>
          </a:r>
        </a:p>
        <a:p>
          <a:r>
            <a:rPr lang="en-IN" sz="1100" b="1" baseline="0"/>
            <a:t>For current assets</a:t>
          </a:r>
          <a:r>
            <a:rPr lang="en-IN" sz="1100" b="0" baseline="0"/>
            <a:t> - inventory makes the biggest contribution of alomst 79%.</a:t>
          </a:r>
        </a:p>
        <a:p>
          <a:r>
            <a:rPr lang="en-IN" sz="1100" b="1" baseline="0"/>
            <a:t>For current liabilities </a:t>
          </a:r>
          <a:r>
            <a:rPr lang="en-IN" sz="1100" b="0" baseline="0"/>
            <a:t>- "trade payables" and "other current financial liabilities" together make up almost 69% of all current liabilities. (considering both MSE and other than MSE in trade payables).</a:t>
          </a:r>
          <a:endParaRPr lang="en-IN" sz="1100" b="0"/>
        </a:p>
        <a:p>
          <a:endParaRPr lang="en-IN" sz="1100" b="0"/>
        </a:p>
        <a:p>
          <a:endParaRPr lang="en-IN" sz="1100" b="0"/>
        </a:p>
        <a:p>
          <a:r>
            <a:rPr lang="en-IN" sz="1100" b="1"/>
            <a:t>Q.</a:t>
          </a:r>
          <a:r>
            <a:rPr lang="en-IN" sz="1100" b="1" baseline="0"/>
            <a:t> How does the company fulfil its requirement for working capital?</a:t>
          </a:r>
        </a:p>
        <a:p>
          <a:endParaRPr lang="en-IN" sz="1100" b="1" baseline="0"/>
        </a:p>
        <a:p>
          <a:r>
            <a:rPr lang="en-IN" sz="1100" b="0" baseline="0"/>
            <a:t>Since the firm has positive working capital, that tells us that the working capital is financed internally itself; and since the company has very high trade payables, this tells us that their suppliers are being used to finance the company's short term working capital requirements. They have a "cash and carry" business model, and therefore their receivables are also very low, reducing the working capital burden.</a:t>
          </a:r>
          <a:endParaRPr lang="en-IN" sz="1100" b="0"/>
        </a:p>
      </xdr:txBody>
    </xdr:sp>
    <xdr:clientData/>
  </xdr:twoCellAnchor>
  <xdr:twoCellAnchor>
    <xdr:from>
      <xdr:col>0</xdr:col>
      <xdr:colOff>190500</xdr:colOff>
      <xdr:row>158</xdr:row>
      <xdr:rowOff>104776</xdr:rowOff>
    </xdr:from>
    <xdr:to>
      <xdr:col>5</xdr:col>
      <xdr:colOff>386442</xdr:colOff>
      <xdr:row>173</xdr:row>
      <xdr:rowOff>100013</xdr:rowOff>
    </xdr:to>
    <xdr:sp macro="" textlink="">
      <xdr:nvSpPr>
        <xdr:cNvPr id="9" name="TextBox 8">
          <a:extLst>
            <a:ext uri="{FF2B5EF4-FFF2-40B4-BE49-F238E27FC236}">
              <a16:creationId xmlns:a16="http://schemas.microsoft.com/office/drawing/2014/main" id="{56E20DD3-AE97-5768-0DE2-EB9F46922228}"/>
            </a:ext>
          </a:extLst>
        </xdr:cNvPr>
        <xdr:cNvSpPr txBox="1"/>
      </xdr:nvSpPr>
      <xdr:spPr>
        <a:xfrm>
          <a:off x="190500" y="30294264"/>
          <a:ext cx="10792505" cy="270986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t>Q.</a:t>
          </a:r>
          <a:r>
            <a:rPr lang="en-IN" b="1" baseline="0"/>
            <a:t> </a:t>
          </a:r>
          <a:r>
            <a:rPr lang="en-IN" b="1"/>
            <a:t>Provide an analysis of the capital structure of the company over the sample period (using quarterly data). </a:t>
          </a:r>
          <a:r>
            <a:rPr lang="en-IN" sz="1100" b="1">
              <a:solidFill>
                <a:schemeClr val="dk1"/>
              </a:solidFill>
              <a:effectLst/>
              <a:latin typeface="+mn-lt"/>
              <a:ea typeface="+mn-ea"/>
              <a:cs typeface="+mn-cs"/>
            </a:rPr>
            <a:t>Identify major sources of funding and whether funding is related to investment requirements analyzed in part I? Is the company generating enough operating cash flow to fulfill CapEx and other requirements?</a:t>
          </a:r>
          <a:endParaRPr lang="en-IN" b="1"/>
        </a:p>
        <a:p>
          <a:endParaRPr lang="en-IN" b="1"/>
        </a:p>
        <a:p>
          <a:r>
            <a:rPr lang="en-IN" b="0"/>
            <a:t>The</a:t>
          </a:r>
          <a:r>
            <a:rPr lang="en-IN" b="0" baseline="0"/>
            <a:t> quarterly data has been provided in the table above. </a:t>
          </a:r>
        </a:p>
        <a:p>
          <a:endParaRPr lang="en-IN" b="0" baseline="0"/>
        </a:p>
        <a:p>
          <a:r>
            <a:rPr lang="en-IN" sz="1100" b="0" i="0">
              <a:solidFill>
                <a:schemeClr val="dk1"/>
              </a:solidFill>
              <a:effectLst/>
              <a:latin typeface="+mn-lt"/>
              <a:ea typeface="+mn-ea"/>
              <a:cs typeface="+mn-cs"/>
            </a:rPr>
            <a:t>The company</a:t>
          </a:r>
          <a:r>
            <a:rPr lang="en-IN" sz="1100" b="0" i="0" baseline="0">
              <a:solidFill>
                <a:schemeClr val="dk1"/>
              </a:solidFill>
              <a:effectLst/>
              <a:latin typeface="+mn-lt"/>
              <a:ea typeface="+mn-ea"/>
              <a:cs typeface="+mn-cs"/>
            </a:rPr>
            <a:t> is </a:t>
          </a:r>
          <a:r>
            <a:rPr lang="en-IN" sz="1100" b="0" i="0">
              <a:solidFill>
                <a:schemeClr val="dk1"/>
              </a:solidFill>
              <a:effectLst/>
              <a:latin typeface="+mn-lt"/>
              <a:ea typeface="+mn-ea"/>
              <a:cs typeface="+mn-cs"/>
            </a:rPr>
            <a:t>overwhelmingly equity‑financed: total shareholders’ funds of about ₹22,230 crore support total assets of ₹24,891 crore, while there is no bank borrowing on the standalone balance sheet in either FY24 or FY25.The only significant “debt‑like” items are lease liabilities of about ₹693 crore (non‑current plus current), arising from store and warehouse leases under Ind AS 116, which keep the reported debt/equity ratio around zero even after adjustment.</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Major sources of funding for capex and growth are internal accruals (retained profits) and operating cash flows: FY25 standalone operating cash flow of ~₹2,597 crore and rising reserves funded capex of ~₹3,350 crore without taking fresh debt.</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Day‑to‑day working capital needs are met primarily through supplier credit (trade payables) and other current liabilities rather than bank working‑capital loans, consistent with an asset‑light, debt‑conservative model.</a:t>
          </a:r>
          <a:endParaRPr lang="en-IN" sz="1100" b="0"/>
        </a:p>
      </xdr:txBody>
    </xdr:sp>
    <xdr:clientData/>
  </xdr:twoCellAnchor>
  <xdr:twoCellAnchor>
    <xdr:from>
      <xdr:col>0</xdr:col>
      <xdr:colOff>141655</xdr:colOff>
      <xdr:row>76</xdr:row>
      <xdr:rowOff>165100</xdr:rowOff>
    </xdr:from>
    <xdr:to>
      <xdr:col>2</xdr:col>
      <xdr:colOff>1003300</xdr:colOff>
      <xdr:row>93</xdr:row>
      <xdr:rowOff>114300</xdr:rowOff>
    </xdr:to>
    <xdr:graphicFrame macro="">
      <xdr:nvGraphicFramePr>
        <xdr:cNvPr id="3" name="Chart 2">
          <a:extLst>
            <a:ext uri="{FF2B5EF4-FFF2-40B4-BE49-F238E27FC236}">
              <a16:creationId xmlns:a16="http://schemas.microsoft.com/office/drawing/2014/main" id="{7F7288E2-22F9-5DFA-3479-46ABBE584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127178</xdr:colOff>
      <xdr:row>96</xdr:row>
      <xdr:rowOff>127000</xdr:rowOff>
    </xdr:from>
    <xdr:to>
      <xdr:col>1</xdr:col>
      <xdr:colOff>1250949</xdr:colOff>
      <xdr:row>112</xdr:row>
      <xdr:rowOff>18161</xdr:rowOff>
    </xdr:to>
    <xdr:graphicFrame macro="">
      <xdr:nvGraphicFramePr>
        <xdr:cNvPr id="4" name="Chart 3">
          <a:extLst>
            <a:ext uri="{FF2B5EF4-FFF2-40B4-BE49-F238E27FC236}">
              <a16:creationId xmlns:a16="http://schemas.microsoft.com/office/drawing/2014/main" id="{6CC71DE0-D104-AF1C-1FEC-1D1DBC321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1711614</xdr:colOff>
      <xdr:row>96</xdr:row>
      <xdr:rowOff>107950</xdr:rowOff>
    </xdr:from>
    <xdr:to>
      <xdr:col>3</xdr:col>
      <xdr:colOff>1778000</xdr:colOff>
      <xdr:row>112</xdr:row>
      <xdr:rowOff>61191</xdr:rowOff>
    </xdr:to>
    <xdr:graphicFrame macro="">
      <xdr:nvGraphicFramePr>
        <xdr:cNvPr id="5" name="Chart 4">
          <a:extLst>
            <a:ext uri="{FF2B5EF4-FFF2-40B4-BE49-F238E27FC236}">
              <a16:creationId xmlns:a16="http://schemas.microsoft.com/office/drawing/2014/main" id="{3C59517D-0D2A-FE9A-0CEA-4E86B324A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21</xdr:row>
      <xdr:rowOff>14288</xdr:rowOff>
    </xdr:from>
    <xdr:to>
      <xdr:col>4</xdr:col>
      <xdr:colOff>1033463</xdr:colOff>
      <xdr:row>36</xdr:row>
      <xdr:rowOff>114301</xdr:rowOff>
    </xdr:to>
    <xdr:sp macro="" textlink="">
      <xdr:nvSpPr>
        <xdr:cNvPr id="2" name="TextBox 1">
          <a:extLst>
            <a:ext uri="{FF2B5EF4-FFF2-40B4-BE49-F238E27FC236}">
              <a16:creationId xmlns:a16="http://schemas.microsoft.com/office/drawing/2014/main" id="{38E7D25B-51D0-76B0-40E9-A26911D2911D}"/>
            </a:ext>
          </a:extLst>
        </xdr:cNvPr>
        <xdr:cNvSpPr txBox="1"/>
      </xdr:nvSpPr>
      <xdr:spPr>
        <a:xfrm>
          <a:off x="114300" y="4243388"/>
          <a:ext cx="9672638" cy="308133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a:t>
          </a:r>
          <a:r>
            <a:rPr lang="en-IN" sz="1100" b="1" baseline="0"/>
            <a:t> Number of major investments taken by the company relative to its size? </a:t>
          </a:r>
        </a:p>
        <a:p>
          <a:endParaRPr lang="en-IN" sz="1100" b="1" baseline="0"/>
        </a:p>
        <a:p>
          <a:r>
            <a:rPr lang="en-IN" sz="1100" b="0" i="0">
              <a:solidFill>
                <a:schemeClr val="dk1"/>
              </a:solidFill>
              <a:effectLst/>
              <a:latin typeface="+mn-lt"/>
              <a:ea typeface="+mn-ea"/>
              <a:cs typeface="+mn-cs"/>
            </a:rPr>
            <a:t>The company invested ₹3,350.33 crores in capital expenditure during FY 2025, an increase of 24.7% compared to ₹2,687.01 crores in FY 2024. This demonstrates the company's aggressive expansion phase, with capex representing 5.8% of total standalone revenue (₹57,789.81 Cr.)</a:t>
          </a:r>
        </a:p>
        <a:p>
          <a:endParaRPr lang="en-IN" sz="1100" b="0" i="0">
            <a:solidFill>
              <a:schemeClr val="dk1"/>
            </a:solidFill>
            <a:effectLst/>
            <a:latin typeface="+mn-lt"/>
            <a:ea typeface="+mn-ea"/>
            <a:cs typeface="+mn-cs"/>
          </a:endParaRPr>
        </a:p>
        <a:p>
          <a:r>
            <a:rPr lang="en-IN" sz="1100" b="1" i="0">
              <a:solidFill>
                <a:schemeClr val="dk1"/>
              </a:solidFill>
              <a:effectLst/>
              <a:latin typeface="+mn-lt"/>
              <a:ea typeface="+mn-ea"/>
              <a:cs typeface="+mn-cs"/>
            </a:rPr>
            <a:t>Q. Whether the capex</a:t>
          </a:r>
          <a:r>
            <a:rPr lang="en-IN" sz="1100" b="1" i="0" baseline="0">
              <a:solidFill>
                <a:schemeClr val="dk1"/>
              </a:solidFill>
              <a:effectLst/>
              <a:latin typeface="+mn-lt"/>
              <a:ea typeface="+mn-ea"/>
              <a:cs typeface="+mn-cs"/>
            </a:rPr>
            <a:t> is related to expansion in the same line of business/diversification or replacement, R&amp;D, etc and intangible assets?</a:t>
          </a:r>
        </a:p>
        <a:p>
          <a:pPr marL="0" marR="0" lvl="0" indent="0" defTabSz="914400" eaLnBrk="1" fontAlgn="auto" latinLnBrk="0" hangingPunct="1">
            <a:lnSpc>
              <a:spcPct val="100000"/>
            </a:lnSpc>
            <a:spcBef>
              <a:spcPts val="0"/>
            </a:spcBef>
            <a:spcAft>
              <a:spcPts val="0"/>
            </a:spcAft>
            <a:buClrTx/>
            <a:buSzTx/>
            <a:buFontTx/>
            <a:buNone/>
            <a:tabLst/>
            <a:defRPr/>
          </a:pPr>
          <a:endParaRPr lang="en-IN" sz="1100" b="0" i="0" baseline="0">
            <a:solidFill>
              <a:schemeClr val="dk1"/>
            </a:solidFill>
            <a:effectLst/>
            <a:latin typeface="+mn-lt"/>
            <a:ea typeface="+mn-ea"/>
            <a:cs typeface="+mn-cs"/>
          </a:endParaRPr>
        </a:p>
        <a:p>
          <a:r>
            <a:rPr lang="en-IN" sz="1100" b="0" i="0">
              <a:solidFill>
                <a:schemeClr val="dk1"/>
              </a:solidFill>
              <a:effectLst/>
              <a:latin typeface="+mn-lt"/>
              <a:ea typeface="+mn-ea"/>
              <a:cs typeface="+mn-cs"/>
            </a:rPr>
            <a:t>The capex is primarily directed towards:</a:t>
          </a:r>
        </a:p>
        <a:p>
          <a:pPr marL="171450" indent="-171450">
            <a:buFont typeface="Arial" panose="020B0604020202020204" pitchFamily="34" charset="0"/>
            <a:buChar char="•"/>
          </a:pPr>
          <a:r>
            <a:rPr lang="en-IN" sz="1100" b="0" i="0">
              <a:solidFill>
                <a:schemeClr val="dk1"/>
              </a:solidFill>
              <a:effectLst/>
              <a:latin typeface="+mn-lt"/>
              <a:ea typeface="+mn-ea"/>
              <a:cs typeface="+mn-cs"/>
            </a:rPr>
            <a:t>Store Expansion: PPE increased by ₹2,581 crores (22.4%), reflective of new store openings (DMart typically opens 25–40 stores annually).</a:t>
          </a:r>
        </a:p>
        <a:p>
          <a:pPr marL="171450" indent="-171450">
            <a:buFont typeface="Arial" panose="020B0604020202020204" pitchFamily="34" charset="0"/>
            <a:buChar char="•"/>
          </a:pPr>
          <a:r>
            <a:rPr lang="en-IN" sz="1100" b="0" i="0">
              <a:solidFill>
                <a:schemeClr val="dk1"/>
              </a:solidFill>
              <a:effectLst/>
              <a:latin typeface="+mn-lt"/>
              <a:ea typeface="+mn-ea"/>
              <a:cs typeface="+mn-cs"/>
            </a:rPr>
            <a:t>Lease-Related Assets (ROU): Grew by ₹204.56 crores (14.7%), indicating fresh store lease commitments as DMart expands retail footprint.</a:t>
          </a:r>
        </a:p>
        <a:p>
          <a:pPr marL="171450" indent="-171450">
            <a:buFont typeface="Arial" panose="020B0604020202020204" pitchFamily="34" charset="0"/>
            <a:buChar char="•"/>
          </a:pPr>
          <a:r>
            <a:rPr lang="en-IN" sz="1100" b="0" i="0">
              <a:solidFill>
                <a:schemeClr val="dk1"/>
              </a:solidFill>
              <a:effectLst/>
              <a:latin typeface="+mn-lt"/>
              <a:ea typeface="+mn-ea"/>
              <a:cs typeface="+mn-cs"/>
            </a:rPr>
            <a:t>Intangible Assets: Jumped 30.2% to ₹1,255.27 crores, suggesting IT infrastructure, software, and supply-chain digitalization investments.</a:t>
          </a:r>
        </a:p>
        <a:p>
          <a:pPr marL="171450" indent="-171450">
            <a:buFont typeface="Arial" panose="020B0604020202020204" pitchFamily="34" charset="0"/>
            <a:buChar char="•"/>
          </a:pPr>
          <a:r>
            <a:rPr lang="en-IN" sz="1100" b="0" i="0">
              <a:solidFill>
                <a:schemeClr val="dk1"/>
              </a:solidFill>
              <a:effectLst/>
              <a:latin typeface="+mn-lt"/>
              <a:ea typeface="+mn-ea"/>
              <a:cs typeface="+mn-cs"/>
            </a:rPr>
            <a:t>CWIP (₹1,090.51 Cr.): Significant ongoing capital projects indicate under-construction stores and logistics hubs.</a:t>
          </a:r>
          <a:endParaRPr lang="en-IN" sz="1100" b="0" i="0" baseline="0">
            <a:solidFill>
              <a:schemeClr val="dk1"/>
            </a:solidFill>
            <a:effectLst/>
            <a:latin typeface="+mn-lt"/>
            <a:ea typeface="+mn-ea"/>
            <a:cs typeface="+mn-cs"/>
          </a:endParaRPr>
        </a:p>
        <a:p>
          <a:pPr marL="171450" indent="-171450">
            <a:buFont typeface="Arial" panose="020B0604020202020204" pitchFamily="34" charset="0"/>
            <a:buChar char="•"/>
          </a:pPr>
          <a:endParaRPr lang="en-IN" sz="1100" b="0" i="0" baseline="0">
            <a:solidFill>
              <a:schemeClr val="dk1"/>
            </a:solidFill>
            <a:effectLst/>
            <a:latin typeface="+mn-lt"/>
            <a:ea typeface="+mn-ea"/>
            <a:cs typeface="+mn-cs"/>
          </a:endParaRPr>
        </a:p>
        <a:p>
          <a:r>
            <a:rPr lang="en-IN" sz="1100" b="0" i="0">
              <a:solidFill>
                <a:schemeClr val="dk1"/>
              </a:solidFill>
              <a:effectLst/>
              <a:latin typeface="+mn-lt"/>
              <a:ea typeface="+mn-ea"/>
              <a:cs typeface="+mn-cs"/>
            </a:rPr>
            <a:t>The capex trajectory (FY24: ₹2,687 Cr → FY25: ₹3,350 Cr) demonstrates:</a:t>
          </a:r>
        </a:p>
        <a:p>
          <a:r>
            <a:rPr lang="en-IN" sz="1100" b="1" i="0">
              <a:solidFill>
                <a:schemeClr val="dk1"/>
              </a:solidFill>
              <a:effectLst/>
              <a:latin typeface="+mn-lt"/>
              <a:ea typeface="+mn-ea"/>
              <a:cs typeface="+mn-cs"/>
            </a:rPr>
            <a:t>Consistent investment in same-line business </a:t>
          </a:r>
          <a:r>
            <a:rPr lang="en-IN" sz="1100" b="0" i="0">
              <a:solidFill>
                <a:schemeClr val="dk1"/>
              </a:solidFill>
              <a:effectLst/>
              <a:latin typeface="+mn-lt"/>
              <a:ea typeface="+mn-ea"/>
              <a:cs typeface="+mn-cs"/>
            </a:rPr>
            <a:t>(retail store network expansion, not diversification).</a:t>
          </a:r>
        </a:p>
        <a:p>
          <a:r>
            <a:rPr lang="en-IN" sz="1100" b="0" i="0">
              <a:solidFill>
                <a:schemeClr val="dk1"/>
              </a:solidFill>
              <a:effectLst/>
              <a:latin typeface="+mn-lt"/>
              <a:ea typeface="+mn-ea"/>
              <a:cs typeface="+mn-cs"/>
            </a:rPr>
            <a:t>Capital intensity controlled at ~6% of revenue, sustainable without straining balance sheet.</a:t>
          </a:r>
        </a:p>
        <a:p>
          <a:r>
            <a:rPr lang="en-IN" sz="1100" b="0" i="0">
              <a:solidFill>
                <a:schemeClr val="dk1"/>
              </a:solidFill>
              <a:effectLst/>
              <a:latin typeface="+mn-lt"/>
              <a:ea typeface="+mn-ea"/>
              <a:cs typeface="+mn-cs"/>
            </a:rPr>
            <a:t>Asset base expansion drove by organic growth and not acquisitions, ensuring integration efficiency.</a:t>
          </a:r>
        </a:p>
        <a:p>
          <a:pPr marL="171450" indent="-171450">
            <a:buFont typeface="Arial" panose="020B0604020202020204" pitchFamily="34" charset="0"/>
            <a:buChar char="•"/>
          </a:pPr>
          <a:endParaRPr lang="en-IN" sz="1100" b="0" i="0">
            <a:solidFill>
              <a:schemeClr val="dk1"/>
            </a:solidFill>
            <a:effectLst/>
            <a:latin typeface="+mn-lt"/>
            <a:ea typeface="+mn-ea"/>
            <a:cs typeface="+mn-cs"/>
          </a:endParaRPr>
        </a:p>
      </xdr:txBody>
    </xdr:sp>
    <xdr:clientData/>
  </xdr:twoCellAnchor>
  <xdr:twoCellAnchor>
    <xdr:from>
      <xdr:col>0</xdr:col>
      <xdr:colOff>28575</xdr:colOff>
      <xdr:row>194</xdr:row>
      <xdr:rowOff>147638</xdr:rowOff>
    </xdr:from>
    <xdr:to>
      <xdr:col>1</xdr:col>
      <xdr:colOff>1776412</xdr:colOff>
      <xdr:row>198</xdr:row>
      <xdr:rowOff>171450</xdr:rowOff>
    </xdr:to>
    <xdr:sp macro="" textlink="">
      <xdr:nvSpPr>
        <xdr:cNvPr id="7" name="TextBox 6">
          <a:extLst>
            <a:ext uri="{FF2B5EF4-FFF2-40B4-BE49-F238E27FC236}">
              <a16:creationId xmlns:a16="http://schemas.microsoft.com/office/drawing/2014/main" id="{2478C3E7-0AD0-AAA3-7A9F-31C9FE4C5EF2}"/>
            </a:ext>
          </a:extLst>
        </xdr:cNvPr>
        <xdr:cNvSpPr txBox="1"/>
      </xdr:nvSpPr>
      <xdr:spPr>
        <a:xfrm>
          <a:off x="28575" y="37257038"/>
          <a:ext cx="5334000" cy="74771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t>Since Avenue</a:t>
          </a:r>
          <a:r>
            <a:rPr lang="en-IN" sz="1100" b="0" baseline="0"/>
            <a:t> Supermarts Ltd. is a special case of a company having virtually no debt, therefore, WACC is approximated to equal the cost of equity, which we have calculated above</a:t>
          </a:r>
          <a:r>
            <a:rPr lang="en-IN" sz="1100" b="1" baseline="0"/>
            <a:t>.</a:t>
          </a:r>
          <a:endParaRPr lang="en-IN" sz="1100" b="0"/>
        </a:p>
      </xdr:txBody>
    </xdr:sp>
    <xdr:clientData/>
  </xdr:twoCellAnchor>
  <xdr:twoCellAnchor>
    <xdr:from>
      <xdr:col>0</xdr:col>
      <xdr:colOff>180975</xdr:colOff>
      <xdr:row>206</xdr:row>
      <xdr:rowOff>123825</xdr:rowOff>
    </xdr:from>
    <xdr:to>
      <xdr:col>3</xdr:col>
      <xdr:colOff>1149350</xdr:colOff>
      <xdr:row>214</xdr:row>
      <xdr:rowOff>147637</xdr:rowOff>
    </xdr:to>
    <xdr:sp macro="" textlink="">
      <xdr:nvSpPr>
        <xdr:cNvPr id="8" name="TextBox 7">
          <a:extLst>
            <a:ext uri="{FF2B5EF4-FFF2-40B4-BE49-F238E27FC236}">
              <a16:creationId xmlns:a16="http://schemas.microsoft.com/office/drawing/2014/main" id="{5E48E7A1-C557-F4D8-1897-170153B79161}"/>
            </a:ext>
          </a:extLst>
        </xdr:cNvPr>
        <xdr:cNvSpPr txBox="1"/>
      </xdr:nvSpPr>
      <xdr:spPr>
        <a:xfrm>
          <a:off x="180975" y="39785925"/>
          <a:ext cx="9490075" cy="1497012"/>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Using</a:t>
          </a:r>
          <a:r>
            <a:rPr lang="en-IN" sz="1100" baseline="0"/>
            <a:t> both the approaches, our value for WACC for Avenue Supermarts Ltd. is coming close to 11.6%.</a:t>
          </a:r>
        </a:p>
        <a:p>
          <a:endParaRPr lang="en-IN" sz="1100" baseline="0"/>
        </a:p>
        <a:p>
          <a:r>
            <a:rPr lang="en-IN" sz="1100"/>
            <a:t>While</a:t>
          </a:r>
          <a:r>
            <a:rPr lang="en-IN" sz="1100" baseline="0"/>
            <a:t> using CAPM, we haven't considered any debt on the company as there are no financial debts on the firm.</a:t>
          </a:r>
        </a:p>
        <a:p>
          <a:endParaRPr lang="en-IN" sz="1100" baseline="0"/>
        </a:p>
        <a:p>
          <a:r>
            <a:rPr lang="en-IN" sz="1100" baseline="0"/>
            <a:t>However, while calculating for WACC using the second approach, we have used lease liabilities as the only debt under-taken by the company for our calculations.</a:t>
          </a:r>
        </a:p>
        <a:p>
          <a:endParaRPr lang="en-IN" sz="1100" baseline="0"/>
        </a:p>
        <a:p>
          <a:r>
            <a:rPr lang="en-IN" sz="1100" baseline="0"/>
            <a:t>Also the formulas are dynamic, so changing the values of the input parameters can lead to new corrected values of WACC as well.</a:t>
          </a:r>
          <a:endParaRPr lang="en-IN" sz="1100"/>
        </a:p>
      </xdr:txBody>
    </xdr:sp>
    <xdr:clientData/>
  </xdr:twoCellAnchor>
  <xdr:twoCellAnchor>
    <xdr:from>
      <xdr:col>0</xdr:col>
      <xdr:colOff>101600</xdr:colOff>
      <xdr:row>267</xdr:row>
      <xdr:rowOff>31751</xdr:rowOff>
    </xdr:from>
    <xdr:to>
      <xdr:col>2</xdr:col>
      <xdr:colOff>1581150</xdr:colOff>
      <xdr:row>278</xdr:row>
      <xdr:rowOff>23814</xdr:rowOff>
    </xdr:to>
    <xdr:sp macro="" textlink="">
      <xdr:nvSpPr>
        <xdr:cNvPr id="10" name="TextBox 9">
          <a:extLst>
            <a:ext uri="{FF2B5EF4-FFF2-40B4-BE49-F238E27FC236}">
              <a16:creationId xmlns:a16="http://schemas.microsoft.com/office/drawing/2014/main" id="{B77BDD6A-A8C9-98C9-11E0-392EAB7025B5}"/>
            </a:ext>
          </a:extLst>
        </xdr:cNvPr>
        <xdr:cNvSpPr txBox="1"/>
      </xdr:nvSpPr>
      <xdr:spPr>
        <a:xfrm>
          <a:off x="101600" y="50561876"/>
          <a:ext cx="8175625" cy="198278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Concluding</a:t>
          </a:r>
          <a:r>
            <a:rPr lang="en-IN" sz="1100" b="1" i="0" baseline="0">
              <a:solidFill>
                <a:schemeClr val="dk1"/>
              </a:solidFill>
              <a:effectLst/>
              <a:latin typeface="+mn-lt"/>
              <a:ea typeface="+mn-ea"/>
              <a:cs typeface="+mn-cs"/>
            </a:rPr>
            <a:t> remarks about the firm and our intrinsic valuation of the firm.</a:t>
          </a:r>
          <a:endParaRPr lang="en-IN" sz="1100" b="1" i="0">
            <a:solidFill>
              <a:schemeClr val="dk1"/>
            </a:solidFill>
            <a:effectLst/>
            <a:latin typeface="+mn-lt"/>
            <a:ea typeface="+mn-ea"/>
            <a:cs typeface="+mn-cs"/>
          </a:endParaRP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Avenue Supermarts has an estimated WACC of about 11.6%, derived from a CAPM-based cost of equity of 11.6% and an almost entirely equity-funded capital structure, with only small lease liabilities counted as debt. Using this discount rate and FCFF of about ₹446 crore in FY24 and ₹424 crore in FY25, a three-year DCF with 12% annual FCFF growth and a 5% terminal growth rate yields an enterprise value of roughly ₹8,100 crore and an equity value of about ₹7,400 crore, or nearly ₹1,140 per share. Compared with the prevailing market price of around ₹3,995 per share, this conservative intrinsic value indicates that the stock trades at a substantial premium to the DCF estimate, implying that investors are pricing in very strong long-term growth and margin expansion for the company.</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Conservative FCFF growth rates and discount rates can cause DCF to provide a lower estimate than the actual market price, especially for high-growth firms like DMart.</a:t>
          </a:r>
          <a:endParaRPr lang="en-IN" sz="1100" b="1">
            <a:latin typeface="+mn-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livemint.com/Money/psz7mP8iHBn0Vwsg8qxctI/DMart-IPO-subscribed-104-times-on-last-day.html" TargetMode="External"/><Relationship Id="rId2" Type="http://schemas.openxmlformats.org/officeDocument/2006/relationships/hyperlink" Target="https://www.moneycontrol.com/news/business/ipo/bumper-listing-d-mart-operator-avenue-supermarts-shares-debut-at-rs-610-up-104-2243761.html" TargetMode="External"/><Relationship Id="rId1" Type="http://schemas.openxmlformats.org/officeDocument/2006/relationships/hyperlink" Target="https://www.sebi.gov.in/filings/public-issues/mar-2017/avenue-supermarts-red-herring-prospectus_34310.html" TargetMode="External"/><Relationship Id="rId6" Type="http://schemas.openxmlformats.org/officeDocument/2006/relationships/hyperlink" Target="https://trendlyne.com/equity/share-holding/53208/DMART/latest/avenue-supermarts-ltd/" TargetMode="External"/><Relationship Id="rId5" Type="http://schemas.openxmlformats.org/officeDocument/2006/relationships/hyperlink" Target="https://jainmatrix.com/2017/03/07/avenue-supermarts-ipo/" TargetMode="External"/><Relationship Id="rId4" Type="http://schemas.openxmlformats.org/officeDocument/2006/relationships/hyperlink" Target="https://www.forbesindia.com/article/special/dmart-ipo-gets-a-stellar-response%3B-issue-oversubscribed-104.44-times/4627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2391-550C-45C1-AD3F-C6E0933BFD2A}">
  <dimension ref="A1:C11"/>
  <sheetViews>
    <sheetView tabSelected="1" zoomScaleNormal="100" workbookViewId="0">
      <selection activeCell="B9" sqref="B9"/>
    </sheetView>
  </sheetViews>
  <sheetFormatPr defaultColWidth="33.20703125" defaultRowHeight="14.4" x14ac:dyDescent="0.55000000000000004"/>
  <cols>
    <col min="1" max="3" width="38.68359375" customWidth="1"/>
  </cols>
  <sheetData>
    <row r="1" spans="1:3" ht="20.7" thickBot="1" x14ac:dyDescent="0.8">
      <c r="A1" s="179" t="s">
        <v>93</v>
      </c>
      <c r="B1" s="179"/>
      <c r="C1" s="179"/>
    </row>
    <row r="2" spans="1:3" x14ac:dyDescent="0.55000000000000004">
      <c r="A2" s="5"/>
      <c r="C2" s="7" t="s">
        <v>20</v>
      </c>
    </row>
    <row r="3" spans="1:3" ht="15.9" thickBot="1" x14ac:dyDescent="0.65">
      <c r="A3" s="180" t="s">
        <v>19</v>
      </c>
      <c r="B3" s="180"/>
    </row>
    <row r="4" spans="1:3" x14ac:dyDescent="0.55000000000000004">
      <c r="A4" s="6" t="s">
        <v>0</v>
      </c>
      <c r="B4" s="6" t="s">
        <v>1</v>
      </c>
    </row>
    <row r="5" spans="1:3" x14ac:dyDescent="0.55000000000000004">
      <c r="A5" s="4" t="s">
        <v>2</v>
      </c>
      <c r="B5" s="4" t="s">
        <v>7</v>
      </c>
    </row>
    <row r="6" spans="1:3" x14ac:dyDescent="0.55000000000000004">
      <c r="A6" s="4" t="s">
        <v>3</v>
      </c>
      <c r="B6" s="4" t="s">
        <v>8</v>
      </c>
    </row>
    <row r="7" spans="1:3" x14ac:dyDescent="0.55000000000000004">
      <c r="A7" s="4" t="s">
        <v>4</v>
      </c>
      <c r="B7" s="4" t="s">
        <v>9</v>
      </c>
    </row>
    <row r="8" spans="1:3" x14ac:dyDescent="0.55000000000000004">
      <c r="A8" s="4" t="s">
        <v>5</v>
      </c>
      <c r="B8" s="4" t="s">
        <v>10</v>
      </c>
    </row>
    <row r="9" spans="1:3" x14ac:dyDescent="0.55000000000000004">
      <c r="A9" s="4" t="s">
        <v>6</v>
      </c>
      <c r="B9" s="4" t="s">
        <v>11</v>
      </c>
    </row>
    <row r="11" spans="1:3" x14ac:dyDescent="0.55000000000000004">
      <c r="A11" s="5"/>
    </row>
  </sheetData>
  <mergeCells count="2">
    <mergeCell ref="A1:C1"/>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225E-CB59-4748-94C8-B95FFDEB18BB}">
  <dimension ref="A1:B17"/>
  <sheetViews>
    <sheetView workbookViewId="0">
      <selection sqref="A1:B1"/>
    </sheetView>
  </sheetViews>
  <sheetFormatPr defaultColWidth="28.47265625" defaultRowHeight="14.4" x14ac:dyDescent="0.55000000000000004"/>
  <cols>
    <col min="1" max="1" width="28.41796875" bestFit="1" customWidth="1"/>
    <col min="2" max="2" width="24.578125" bestFit="1" customWidth="1"/>
  </cols>
  <sheetData>
    <row r="1" spans="1:2" ht="20.399999999999999" x14ac:dyDescent="0.75">
      <c r="A1" s="181" t="s">
        <v>21</v>
      </c>
      <c r="B1" s="181"/>
    </row>
    <row r="2" spans="1:2" x14ac:dyDescent="0.55000000000000004">
      <c r="A2" s="6" t="s">
        <v>22</v>
      </c>
      <c r="B2" s="6" t="s">
        <v>42</v>
      </c>
    </row>
    <row r="3" spans="1:2" x14ac:dyDescent="0.55000000000000004">
      <c r="A3" s="169" t="s">
        <v>23</v>
      </c>
      <c r="B3" s="18" t="s">
        <v>23</v>
      </c>
    </row>
    <row r="4" spans="1:2" x14ac:dyDescent="0.55000000000000004">
      <c r="A4" s="182" t="s">
        <v>27</v>
      </c>
      <c r="B4" s="12" t="s">
        <v>39</v>
      </c>
    </row>
    <row r="5" spans="1:2" x14ac:dyDescent="0.55000000000000004">
      <c r="A5" s="182"/>
      <c r="B5" s="12" t="s">
        <v>40</v>
      </c>
    </row>
    <row r="6" spans="1:2" x14ac:dyDescent="0.55000000000000004">
      <c r="A6" s="182"/>
      <c r="B6" s="12" t="s">
        <v>41</v>
      </c>
    </row>
    <row r="7" spans="1:2" x14ac:dyDescent="0.55000000000000004">
      <c r="A7" s="182"/>
      <c r="B7" s="12" t="s">
        <v>35</v>
      </c>
    </row>
    <row r="8" spans="1:2" x14ac:dyDescent="0.55000000000000004">
      <c r="A8" s="182"/>
      <c r="B8" s="12" t="s">
        <v>38</v>
      </c>
    </row>
    <row r="9" spans="1:2" x14ac:dyDescent="0.55000000000000004">
      <c r="A9" s="182" t="s">
        <v>28</v>
      </c>
      <c r="B9" s="183" t="s">
        <v>25</v>
      </c>
    </row>
    <row r="10" spans="1:2" x14ac:dyDescent="0.55000000000000004">
      <c r="A10" s="182"/>
      <c r="B10" s="184"/>
    </row>
    <row r="11" spans="1:2" x14ac:dyDescent="0.55000000000000004">
      <c r="A11" s="182"/>
      <c r="B11" s="185"/>
    </row>
    <row r="12" spans="1:2" x14ac:dyDescent="0.55000000000000004">
      <c r="A12" s="182" t="s">
        <v>29</v>
      </c>
      <c r="B12" s="12" t="s">
        <v>70</v>
      </c>
    </row>
    <row r="13" spans="1:2" x14ac:dyDescent="0.55000000000000004">
      <c r="A13" s="182"/>
      <c r="B13" s="12" t="s">
        <v>46</v>
      </c>
    </row>
    <row r="14" spans="1:2" x14ac:dyDescent="0.55000000000000004">
      <c r="A14" s="182"/>
      <c r="B14" s="12" t="s">
        <v>47</v>
      </c>
    </row>
    <row r="15" spans="1:2" x14ac:dyDescent="0.55000000000000004">
      <c r="A15" s="182"/>
      <c r="B15" s="12" t="s">
        <v>48</v>
      </c>
    </row>
    <row r="16" spans="1:2" x14ac:dyDescent="0.55000000000000004">
      <c r="A16" s="182"/>
      <c r="B16" s="12" t="s">
        <v>71</v>
      </c>
    </row>
    <row r="17" spans="1:2" x14ac:dyDescent="0.55000000000000004">
      <c r="A17" s="4" t="s">
        <v>53</v>
      </c>
      <c r="B17" s="12" t="s">
        <v>50</v>
      </c>
    </row>
  </sheetData>
  <mergeCells count="5">
    <mergeCell ref="A1:B1"/>
    <mergeCell ref="A12:A16"/>
    <mergeCell ref="A4:A8"/>
    <mergeCell ref="A9:A11"/>
    <mergeCell ref="B9:B11"/>
  </mergeCells>
  <hyperlinks>
    <hyperlink ref="B4" location="'Part 1 - Corporate Governance'!A3" display="Company overview" xr:uid="{02D69483-D303-4A5D-87EE-DAAE1F474005}"/>
    <hyperlink ref="B5" location="'Part 1 - Corporate Governance'!A32" display="Board structure" xr:uid="{801A7155-2474-43B5-B37D-3E1A428F69E3}"/>
    <hyperlink ref="B6" location="'Part 1 - Corporate Governance'!A70" display="Director profiles" xr:uid="{5DD39151-077F-4B31-BE8F-E15FC3C0C815}"/>
    <hyperlink ref="B7" location="'Part 1 - Corporate Governance'!A88" display="Governance &amp; Lawsuits" xr:uid="{94526EBC-8127-4087-AA6D-E8E0CDD7C2E0}"/>
    <hyperlink ref="B8" location="'Part 1 - Corporate Governance'!A133" display="Information Asymmetry" xr:uid="{0F7C3FA8-2AF3-4F36-A71A-B4C8717200EF}"/>
    <hyperlink ref="B17" location="'All References'!A1" display="All References" xr:uid="{407F550E-93F1-4CE1-A8F0-5AD2253A8031}"/>
    <hyperlink ref="B3" location="'Executive Summary'!A1" display="Executive Summary" xr:uid="{8ADE6F23-899E-4609-8BC0-F8B8FAEDDB4A}"/>
    <hyperlink ref="B9" location="'Part 2 - IPO Analysis'!A3" display="IPO Overview" xr:uid="{10E03493-3055-4C68-BF66-92B49B54BF45}"/>
    <hyperlink ref="B12" location="'Part 3 - Financial Management'!A3" display="CapEx Analysis" xr:uid="{A3694AB7-6AAC-4B38-AB19-C69412D12D51}"/>
    <hyperlink ref="B13" location="'Part 3 - Financial Management'!A41" display="Working Capital" xr:uid="{9B7BE6DE-112C-4907-9F83-7A656F2A22A7}"/>
    <hyperlink ref="B14" location="'Part 3 - Financial Management'!A130" display="Capital Structure" xr:uid="{9775A100-2FA7-4D6C-89BC-D4592D1D2A84}"/>
    <hyperlink ref="B15" location="'Part 3 - Financial Management'!A178" display="WACC" xr:uid="{70574D4F-1D79-4A23-8A56-9CAEB0453C06}"/>
    <hyperlink ref="B16" location="'Part 3 - Financial Management'!A218" display="Intrinsic Valuation" xr:uid="{5D2849E7-8BE9-493D-A6AD-24549CD183D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38C47-9A8F-43D5-A718-8C928B058CB4}">
  <dimension ref="A1:G21"/>
  <sheetViews>
    <sheetView workbookViewId="0">
      <selection sqref="A1:G1"/>
    </sheetView>
  </sheetViews>
  <sheetFormatPr defaultRowHeight="14.4" x14ac:dyDescent="0.55000000000000004"/>
  <sheetData>
    <row r="1" spans="1:7" s="19" customFormat="1" ht="20.399999999999999" x14ac:dyDescent="0.75">
      <c r="A1" s="186" t="s">
        <v>23</v>
      </c>
      <c r="B1" s="186"/>
      <c r="C1" s="186"/>
      <c r="D1" s="186"/>
      <c r="E1" s="186"/>
      <c r="F1" s="186"/>
      <c r="G1" s="186"/>
    </row>
    <row r="2" spans="1:7" s="19" customFormat="1" ht="20.399999999999999" x14ac:dyDescent="0.75">
      <c r="A2" s="17"/>
      <c r="B2" s="17"/>
      <c r="C2" s="17"/>
      <c r="D2" s="17"/>
      <c r="E2" s="17"/>
      <c r="F2" s="17"/>
      <c r="G2" s="17"/>
    </row>
    <row r="3" spans="1:7" s="19" customFormat="1" ht="20.399999999999999" x14ac:dyDescent="0.75">
      <c r="A3" s="17"/>
      <c r="B3" s="17"/>
      <c r="C3" s="17"/>
      <c r="D3" s="17"/>
      <c r="E3" s="17"/>
      <c r="F3" s="17"/>
      <c r="G3" s="17"/>
    </row>
    <row r="4" spans="1:7" s="19" customFormat="1" ht="20.399999999999999" x14ac:dyDescent="0.75">
      <c r="A4" s="17"/>
      <c r="B4" s="17"/>
      <c r="C4" s="17"/>
      <c r="D4" s="17"/>
      <c r="E4" s="17"/>
      <c r="F4" s="17"/>
      <c r="G4" s="17"/>
    </row>
    <row r="5" spans="1:7" s="19" customFormat="1" ht="20.399999999999999" x14ac:dyDescent="0.75">
      <c r="A5" s="17"/>
      <c r="B5" s="17"/>
      <c r="C5" s="17"/>
      <c r="D5" s="17"/>
      <c r="E5" s="17"/>
      <c r="F5" s="17"/>
      <c r="G5" s="17"/>
    </row>
    <row r="6" spans="1:7" s="19" customFormat="1" ht="20.399999999999999" x14ac:dyDescent="0.75">
      <c r="A6" s="17"/>
      <c r="B6" s="17"/>
      <c r="C6" s="17"/>
      <c r="D6" s="17"/>
      <c r="E6" s="17"/>
      <c r="F6" s="17"/>
      <c r="G6" s="17"/>
    </row>
    <row r="7" spans="1:7" s="15" customFormat="1" ht="15.6" x14ac:dyDescent="0.6">
      <c r="A7" s="187" t="s">
        <v>24</v>
      </c>
      <c r="B7" s="187"/>
      <c r="C7" s="187"/>
      <c r="D7" s="187"/>
      <c r="E7" s="187"/>
      <c r="F7" s="187"/>
    </row>
    <row r="14" spans="1:7" s="15" customFormat="1" ht="15.6" x14ac:dyDescent="0.6">
      <c r="A14" s="187" t="s">
        <v>25</v>
      </c>
      <c r="B14" s="187"/>
      <c r="C14" s="187"/>
      <c r="D14" s="187"/>
      <c r="E14" s="187"/>
      <c r="F14" s="187"/>
    </row>
    <row r="21" spans="1:6" s="15" customFormat="1" ht="15.6" x14ac:dyDescent="0.6">
      <c r="A21" s="187" t="s">
        <v>26</v>
      </c>
      <c r="B21" s="187"/>
      <c r="C21" s="187"/>
      <c r="D21" s="187"/>
      <c r="E21" s="187"/>
      <c r="F21" s="187"/>
    </row>
  </sheetData>
  <mergeCells count="4">
    <mergeCell ref="A1:G1"/>
    <mergeCell ref="A7:F7"/>
    <mergeCell ref="A14:F14"/>
    <mergeCell ref="A21:F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C2D10-841F-4607-950C-AF90321DADC9}">
  <dimension ref="A1:K133"/>
  <sheetViews>
    <sheetView zoomScale="43" zoomScaleNormal="80" workbookViewId="0">
      <selection sqref="A1:F1"/>
    </sheetView>
  </sheetViews>
  <sheetFormatPr defaultRowHeight="14.4" x14ac:dyDescent="0.55000000000000004"/>
  <cols>
    <col min="1" max="1" width="42.1015625" style="8" bestFit="1" customWidth="1"/>
    <col min="2" max="2" width="29.578125" customWidth="1"/>
    <col min="3" max="3" width="36" customWidth="1"/>
    <col min="4" max="4" width="35.41796875" customWidth="1"/>
    <col min="5" max="5" width="21.89453125" bestFit="1" customWidth="1"/>
    <col min="6" max="6" width="29.20703125" customWidth="1"/>
    <col min="7" max="7" width="18" customWidth="1"/>
    <col min="8" max="8" width="41.47265625" customWidth="1"/>
    <col min="9" max="9" width="58.3125" bestFit="1" customWidth="1"/>
    <col min="10" max="10" width="60.05078125" bestFit="1" customWidth="1"/>
    <col min="11" max="11" width="52.89453125" bestFit="1" customWidth="1"/>
  </cols>
  <sheetData>
    <row r="1" spans="1:6" ht="20.399999999999999" x14ac:dyDescent="0.75">
      <c r="A1" s="188" t="s">
        <v>94</v>
      </c>
      <c r="B1" s="188"/>
      <c r="C1" s="188"/>
      <c r="D1" s="188"/>
      <c r="E1" s="188"/>
      <c r="F1" s="188"/>
    </row>
    <row r="3" spans="1:6" ht="15.6" x14ac:dyDescent="0.6">
      <c r="A3" s="187" t="s">
        <v>30</v>
      </c>
      <c r="B3" s="187"/>
      <c r="C3" s="187"/>
      <c r="D3" s="187"/>
      <c r="E3" s="187"/>
      <c r="F3" s="187"/>
    </row>
    <row r="4" spans="1:6" x14ac:dyDescent="0.55000000000000004">
      <c r="A4" s="3"/>
    </row>
    <row r="5" spans="1:6" x14ac:dyDescent="0.55000000000000004">
      <c r="A5" s="20"/>
    </row>
    <row r="6" spans="1:6" x14ac:dyDescent="0.55000000000000004">
      <c r="A6" s="1"/>
    </row>
    <row r="7" spans="1:6" x14ac:dyDescent="0.55000000000000004">
      <c r="A7" s="1"/>
    </row>
    <row r="8" spans="1:6" x14ac:dyDescent="0.55000000000000004">
      <c r="A8" s="1"/>
    </row>
    <row r="9" spans="1:6" x14ac:dyDescent="0.55000000000000004">
      <c r="A9" s="1"/>
    </row>
    <row r="10" spans="1:6" x14ac:dyDescent="0.55000000000000004">
      <c r="A10" s="1"/>
    </row>
    <row r="11" spans="1:6" x14ac:dyDescent="0.55000000000000004">
      <c r="A11" s="1"/>
    </row>
    <row r="12" spans="1:6" x14ac:dyDescent="0.55000000000000004">
      <c r="A12" s="1"/>
    </row>
    <row r="13" spans="1:6" x14ac:dyDescent="0.55000000000000004">
      <c r="A13" s="1"/>
    </row>
    <row r="14" spans="1:6" x14ac:dyDescent="0.55000000000000004">
      <c r="A14" s="1"/>
    </row>
    <row r="15" spans="1:6" x14ac:dyDescent="0.55000000000000004">
      <c r="A15" s="1"/>
    </row>
    <row r="16" spans="1:6" x14ac:dyDescent="0.55000000000000004">
      <c r="A16" s="1"/>
    </row>
    <row r="17" spans="1:6" x14ac:dyDescent="0.55000000000000004">
      <c r="A17" s="1"/>
    </row>
    <row r="18" spans="1:6" x14ac:dyDescent="0.55000000000000004">
      <c r="A18" s="1"/>
    </row>
    <row r="19" spans="1:6" x14ac:dyDescent="0.55000000000000004">
      <c r="A19" s="1"/>
    </row>
    <row r="20" spans="1:6" x14ac:dyDescent="0.55000000000000004">
      <c r="A20" s="1"/>
    </row>
    <row r="21" spans="1:6" x14ac:dyDescent="0.55000000000000004">
      <c r="A21" s="14"/>
    </row>
    <row r="23" spans="1:6" x14ac:dyDescent="0.55000000000000004">
      <c r="A23" s="14"/>
    </row>
    <row r="24" spans="1:6" x14ac:dyDescent="0.55000000000000004">
      <c r="A24" s="5"/>
    </row>
    <row r="25" spans="1:6" x14ac:dyDescent="0.55000000000000004">
      <c r="A25" s="5"/>
    </row>
    <row r="26" spans="1:6" x14ac:dyDescent="0.55000000000000004">
      <c r="A26" s="5"/>
    </row>
    <row r="27" spans="1:6" x14ac:dyDescent="0.55000000000000004">
      <c r="A27" s="5"/>
    </row>
    <row r="28" spans="1:6" x14ac:dyDescent="0.55000000000000004">
      <c r="A28" s="5"/>
    </row>
    <row r="29" spans="1:6" x14ac:dyDescent="0.55000000000000004">
      <c r="A29" s="5"/>
    </row>
    <row r="30" spans="1:6" x14ac:dyDescent="0.55000000000000004">
      <c r="A30" s="38" t="s">
        <v>73</v>
      </c>
    </row>
    <row r="31" spans="1:6" x14ac:dyDescent="0.55000000000000004">
      <c r="A31" s="1"/>
    </row>
    <row r="32" spans="1:6" ht="15.6" x14ac:dyDescent="0.6">
      <c r="A32" s="187" t="s">
        <v>31</v>
      </c>
      <c r="B32" s="187"/>
      <c r="C32" s="187"/>
      <c r="D32" s="187"/>
      <c r="E32" s="187"/>
      <c r="F32" s="187"/>
    </row>
    <row r="33" spans="1:6" x14ac:dyDescent="0.55000000000000004">
      <c r="A33" s="1"/>
    </row>
    <row r="34" spans="1:6" x14ac:dyDescent="0.55000000000000004">
      <c r="A34" s="105" t="s">
        <v>74</v>
      </c>
    </row>
    <row r="35" spans="1:6" x14ac:dyDescent="0.55000000000000004">
      <c r="A35" s="1"/>
    </row>
    <row r="36" spans="1:6" x14ac:dyDescent="0.55000000000000004">
      <c r="A36" s="9" t="s">
        <v>54</v>
      </c>
      <c r="B36" s="21" t="s">
        <v>55</v>
      </c>
      <c r="C36" s="9" t="s">
        <v>58</v>
      </c>
      <c r="D36" s="22"/>
      <c r="E36" s="22"/>
      <c r="F36" s="22"/>
    </row>
    <row r="37" spans="1:6" x14ac:dyDescent="0.55000000000000004">
      <c r="A37" s="2" t="s">
        <v>32</v>
      </c>
      <c r="B37" s="25">
        <v>4</v>
      </c>
      <c r="C37" s="26">
        <f>B37/B40</f>
        <v>0.5</v>
      </c>
    </row>
    <row r="38" spans="1:6" x14ac:dyDescent="0.55000000000000004">
      <c r="A38" s="51" t="s">
        <v>95</v>
      </c>
      <c r="B38" s="52">
        <v>1</v>
      </c>
      <c r="C38" s="26">
        <f>B38/B40</f>
        <v>0.125</v>
      </c>
    </row>
    <row r="39" spans="1:6" ht="14.7" thickBot="1" x14ac:dyDescent="0.6">
      <c r="A39" s="24" t="s">
        <v>56</v>
      </c>
      <c r="B39" s="27">
        <v>3</v>
      </c>
      <c r="C39" s="28">
        <f>B39/B40</f>
        <v>0.375</v>
      </c>
    </row>
    <row r="40" spans="1:6" ht="14.7" thickBot="1" x14ac:dyDescent="0.6">
      <c r="A40" s="23" t="s">
        <v>57</v>
      </c>
      <c r="B40" s="30">
        <f>SUM(B37:B39)</f>
        <v>8</v>
      </c>
      <c r="C40" s="29">
        <f>B40/B40</f>
        <v>1</v>
      </c>
    </row>
    <row r="42" spans="1:6" x14ac:dyDescent="0.55000000000000004">
      <c r="A42" s="13"/>
    </row>
    <row r="44" spans="1:6" x14ac:dyDescent="0.55000000000000004">
      <c r="F44" s="5"/>
    </row>
    <row r="45" spans="1:6" x14ac:dyDescent="0.55000000000000004">
      <c r="F45" s="5"/>
    </row>
    <row r="46" spans="1:6" x14ac:dyDescent="0.55000000000000004">
      <c r="F46" s="5"/>
    </row>
    <row r="47" spans="1:6" x14ac:dyDescent="0.55000000000000004">
      <c r="F47" s="5"/>
    </row>
    <row r="48" spans="1:6" x14ac:dyDescent="0.55000000000000004">
      <c r="F48" s="5"/>
    </row>
    <row r="49" spans="1:6" x14ac:dyDescent="0.55000000000000004">
      <c r="A49" s="13"/>
      <c r="F49" s="5"/>
    </row>
    <row r="50" spans="1:6" x14ac:dyDescent="0.55000000000000004">
      <c r="A50" s="13"/>
    </row>
    <row r="51" spans="1:6" x14ac:dyDescent="0.55000000000000004">
      <c r="A51" s="13"/>
    </row>
    <row r="52" spans="1:6" x14ac:dyDescent="0.55000000000000004">
      <c r="A52" s="13"/>
    </row>
    <row r="53" spans="1:6" x14ac:dyDescent="0.55000000000000004">
      <c r="A53" s="13"/>
    </row>
    <row r="54" spans="1:6" x14ac:dyDescent="0.55000000000000004">
      <c r="A54" s="13"/>
    </row>
    <row r="55" spans="1:6" x14ac:dyDescent="0.55000000000000004">
      <c r="A55" s="13"/>
    </row>
    <row r="56" spans="1:6" x14ac:dyDescent="0.55000000000000004">
      <c r="A56" s="13"/>
    </row>
    <row r="57" spans="1:6" x14ac:dyDescent="0.55000000000000004">
      <c r="A57" s="13"/>
    </row>
    <row r="58" spans="1:6" x14ac:dyDescent="0.55000000000000004">
      <c r="A58" s="13"/>
    </row>
    <row r="59" spans="1:6" x14ac:dyDescent="0.55000000000000004">
      <c r="A59" s="13"/>
    </row>
    <row r="60" spans="1:6" x14ac:dyDescent="0.55000000000000004">
      <c r="A60" s="13"/>
    </row>
    <row r="61" spans="1:6" x14ac:dyDescent="0.55000000000000004">
      <c r="A61" s="13"/>
    </row>
    <row r="62" spans="1:6" x14ac:dyDescent="0.55000000000000004">
      <c r="A62" s="13"/>
    </row>
    <row r="63" spans="1:6" x14ac:dyDescent="0.55000000000000004">
      <c r="A63" s="13"/>
    </row>
    <row r="64" spans="1:6" x14ac:dyDescent="0.55000000000000004">
      <c r="A64" s="13"/>
    </row>
    <row r="65" spans="1:11" x14ac:dyDescent="0.55000000000000004">
      <c r="A65" s="13"/>
    </row>
    <row r="66" spans="1:11" x14ac:dyDescent="0.55000000000000004">
      <c r="A66" s="13"/>
    </row>
    <row r="67" spans="1:11" x14ac:dyDescent="0.55000000000000004">
      <c r="A67" s="13"/>
    </row>
    <row r="68" spans="1:11" x14ac:dyDescent="0.55000000000000004">
      <c r="A68" s="41" t="s">
        <v>73</v>
      </c>
    </row>
    <row r="69" spans="1:11" x14ac:dyDescent="0.55000000000000004">
      <c r="A69" s="13"/>
    </row>
    <row r="70" spans="1:11" ht="15.6" x14ac:dyDescent="0.6">
      <c r="A70" s="187" t="s">
        <v>33</v>
      </c>
      <c r="B70" s="187"/>
      <c r="C70" s="187"/>
      <c r="D70" s="187"/>
      <c r="E70" s="187"/>
      <c r="F70" s="187"/>
    </row>
    <row r="71" spans="1:11" ht="15.6" x14ac:dyDescent="0.6">
      <c r="A71" s="55" t="s">
        <v>145</v>
      </c>
      <c r="B71" s="16"/>
      <c r="C71" s="16"/>
      <c r="D71" s="16"/>
      <c r="E71" s="16"/>
      <c r="F71" s="16"/>
    </row>
    <row r="72" spans="1:11" x14ac:dyDescent="0.55000000000000004">
      <c r="A72" s="1"/>
    </row>
    <row r="73" spans="1:11" x14ac:dyDescent="0.55000000000000004">
      <c r="A73" s="9" t="s">
        <v>0</v>
      </c>
      <c r="B73" s="9" t="s">
        <v>62</v>
      </c>
      <c r="C73" s="9" t="s">
        <v>72</v>
      </c>
      <c r="D73" s="9" t="s">
        <v>59</v>
      </c>
      <c r="E73" s="9" t="s">
        <v>60</v>
      </c>
      <c r="F73" s="9" t="s">
        <v>61</v>
      </c>
      <c r="G73" s="9" t="s">
        <v>63</v>
      </c>
      <c r="H73" s="9" t="s">
        <v>64</v>
      </c>
      <c r="I73" s="9" t="s">
        <v>147</v>
      </c>
      <c r="J73" s="9" t="s">
        <v>34</v>
      </c>
      <c r="K73" s="9" t="s">
        <v>149</v>
      </c>
    </row>
    <row r="74" spans="1:11" ht="72" customHeight="1" x14ac:dyDescent="0.55000000000000004">
      <c r="A74" s="54" t="s">
        <v>96</v>
      </c>
      <c r="B74" s="54" t="s">
        <v>67</v>
      </c>
      <c r="C74" s="54">
        <v>73</v>
      </c>
      <c r="D74" s="54" t="s">
        <v>104</v>
      </c>
      <c r="E74" s="54" t="s">
        <v>66</v>
      </c>
      <c r="F74" s="54" t="s">
        <v>111</v>
      </c>
      <c r="G74" s="56">
        <v>42703</v>
      </c>
      <c r="H74" s="54" t="s">
        <v>116</v>
      </c>
      <c r="I74" s="54" t="s">
        <v>123</v>
      </c>
      <c r="J74" s="54" t="s">
        <v>122</v>
      </c>
      <c r="K74" s="54" t="s">
        <v>124</v>
      </c>
    </row>
    <row r="75" spans="1:11" ht="57.6" x14ac:dyDescent="0.55000000000000004">
      <c r="A75" s="54" t="s">
        <v>97</v>
      </c>
      <c r="B75" s="54" t="s">
        <v>68</v>
      </c>
      <c r="C75" s="54">
        <v>53</v>
      </c>
      <c r="D75" s="54" t="s">
        <v>65</v>
      </c>
      <c r="E75" s="54" t="s">
        <v>66</v>
      </c>
      <c r="F75" s="54" t="s">
        <v>111</v>
      </c>
      <c r="G75" s="56">
        <v>43213</v>
      </c>
      <c r="H75" s="54" t="s">
        <v>117</v>
      </c>
      <c r="I75" s="54" t="s">
        <v>148</v>
      </c>
      <c r="J75" s="54" t="s">
        <v>125</v>
      </c>
      <c r="K75" s="54" t="s">
        <v>126</v>
      </c>
    </row>
    <row r="76" spans="1:11" ht="57.6" x14ac:dyDescent="0.55000000000000004">
      <c r="A76" s="54" t="s">
        <v>98</v>
      </c>
      <c r="B76" s="54" t="s">
        <v>67</v>
      </c>
      <c r="C76" s="54">
        <v>63</v>
      </c>
      <c r="D76" s="54" t="s">
        <v>65</v>
      </c>
      <c r="E76" s="54" t="s">
        <v>66</v>
      </c>
      <c r="F76" s="54" t="s">
        <v>111</v>
      </c>
      <c r="G76" s="56">
        <v>45304</v>
      </c>
      <c r="H76" s="54" t="s">
        <v>118</v>
      </c>
      <c r="I76" s="54" t="s">
        <v>128</v>
      </c>
      <c r="J76" s="54" t="s">
        <v>127</v>
      </c>
      <c r="K76" s="54" t="s">
        <v>129</v>
      </c>
    </row>
    <row r="77" spans="1:11" ht="43.2" x14ac:dyDescent="0.55000000000000004">
      <c r="A77" s="54" t="s">
        <v>99</v>
      </c>
      <c r="B77" s="54" t="s">
        <v>68</v>
      </c>
      <c r="C77" s="54">
        <v>39</v>
      </c>
      <c r="D77" s="54" t="s">
        <v>146</v>
      </c>
      <c r="E77" s="54" t="s">
        <v>109</v>
      </c>
      <c r="F77" s="54" t="s">
        <v>112</v>
      </c>
      <c r="G77" s="56">
        <v>40810</v>
      </c>
      <c r="H77" s="54" t="s">
        <v>119</v>
      </c>
      <c r="I77" s="54" t="s">
        <v>131</v>
      </c>
      <c r="J77" s="54" t="s">
        <v>130</v>
      </c>
      <c r="K77" s="54" t="s">
        <v>132</v>
      </c>
    </row>
    <row r="78" spans="1:11" ht="57.6" x14ac:dyDescent="0.55000000000000004">
      <c r="A78" s="54" t="s">
        <v>100</v>
      </c>
      <c r="B78" s="54" t="s">
        <v>67</v>
      </c>
      <c r="C78" s="54">
        <v>47</v>
      </c>
      <c r="D78" s="54" t="s">
        <v>105</v>
      </c>
      <c r="E78" s="54" t="s">
        <v>110</v>
      </c>
      <c r="F78" s="54" t="s">
        <v>112</v>
      </c>
      <c r="G78" s="56">
        <v>38818</v>
      </c>
      <c r="H78" s="54" t="s">
        <v>120</v>
      </c>
      <c r="I78" s="54" t="s">
        <v>134</v>
      </c>
      <c r="J78" s="54" t="s">
        <v>133</v>
      </c>
      <c r="K78" s="54" t="s">
        <v>135</v>
      </c>
    </row>
    <row r="79" spans="1:11" ht="28.8" x14ac:dyDescent="0.55000000000000004">
      <c r="A79" s="54" t="s">
        <v>101</v>
      </c>
      <c r="B79" s="54" t="s">
        <v>67</v>
      </c>
      <c r="C79" s="54">
        <v>49</v>
      </c>
      <c r="D79" s="54" t="s">
        <v>106</v>
      </c>
      <c r="E79" s="54" t="s">
        <v>110</v>
      </c>
      <c r="F79" s="54" t="s">
        <v>112</v>
      </c>
      <c r="G79" s="56">
        <v>41906</v>
      </c>
      <c r="H79" s="54" t="s">
        <v>121</v>
      </c>
      <c r="I79" s="54" t="s">
        <v>137</v>
      </c>
      <c r="J79" s="54" t="s">
        <v>136</v>
      </c>
      <c r="K79" s="54" t="s">
        <v>138</v>
      </c>
    </row>
    <row r="80" spans="1:11" ht="43.2" x14ac:dyDescent="0.55000000000000004">
      <c r="A80" s="54" t="s">
        <v>102</v>
      </c>
      <c r="B80" s="54" t="s">
        <v>67</v>
      </c>
      <c r="C80" s="54">
        <v>57</v>
      </c>
      <c r="D80" s="54" t="s">
        <v>107</v>
      </c>
      <c r="E80" s="54" t="s">
        <v>110</v>
      </c>
      <c r="F80" s="54" t="s">
        <v>112</v>
      </c>
      <c r="G80" s="56">
        <v>42226</v>
      </c>
      <c r="H80" s="54" t="s">
        <v>118</v>
      </c>
      <c r="I80" s="54" t="s">
        <v>143</v>
      </c>
      <c r="J80" s="54" t="s">
        <v>142</v>
      </c>
      <c r="K80" s="54" t="s">
        <v>144</v>
      </c>
    </row>
    <row r="81" spans="1:11" ht="43.2" x14ac:dyDescent="0.55000000000000004">
      <c r="A81" s="54" t="s">
        <v>103</v>
      </c>
      <c r="B81" s="54" t="s">
        <v>67</v>
      </c>
      <c r="C81" s="54">
        <v>56</v>
      </c>
      <c r="D81" s="54" t="s">
        <v>108</v>
      </c>
      <c r="E81" s="54" t="s">
        <v>110</v>
      </c>
      <c r="F81" s="54" t="s">
        <v>112</v>
      </c>
      <c r="G81" s="56">
        <v>45441</v>
      </c>
      <c r="H81" s="54" t="s">
        <v>120</v>
      </c>
      <c r="I81" s="54" t="s">
        <v>140</v>
      </c>
      <c r="J81" s="54" t="s">
        <v>139</v>
      </c>
      <c r="K81" s="54" t="s">
        <v>141</v>
      </c>
    </row>
    <row r="82" spans="1:11" x14ac:dyDescent="0.55000000000000004">
      <c r="A82" s="1"/>
    </row>
    <row r="83" spans="1:11" x14ac:dyDescent="0.55000000000000004">
      <c r="A83" s="20" t="s">
        <v>115</v>
      </c>
    </row>
    <row r="84" spans="1:11" x14ac:dyDescent="0.55000000000000004">
      <c r="A84" s="1"/>
    </row>
    <row r="85" spans="1:11" x14ac:dyDescent="0.55000000000000004">
      <c r="A85" s="170" t="s">
        <v>73</v>
      </c>
    </row>
    <row r="86" spans="1:11" x14ac:dyDescent="0.55000000000000004">
      <c r="A86" s="53"/>
    </row>
    <row r="87" spans="1:11" x14ac:dyDescent="0.55000000000000004">
      <c r="A87" s="1"/>
    </row>
    <row r="88" spans="1:11" ht="15.6" x14ac:dyDescent="0.6">
      <c r="A88" s="187" t="s">
        <v>35</v>
      </c>
      <c r="B88" s="187"/>
      <c r="C88" s="187"/>
      <c r="D88" s="187"/>
      <c r="E88" s="187"/>
      <c r="F88" s="187"/>
    </row>
    <row r="90" spans="1:11" x14ac:dyDescent="0.55000000000000004">
      <c r="A90" s="190" t="s">
        <v>36</v>
      </c>
      <c r="B90" s="190"/>
      <c r="C90" s="190"/>
      <c r="D90" s="190"/>
      <c r="E90" s="190"/>
    </row>
    <row r="91" spans="1:11" s="8" customFormat="1" ht="27.3" customHeight="1" x14ac:dyDescent="0.55000000000000004">
      <c r="A91" s="11" t="s">
        <v>37</v>
      </c>
      <c r="B91" s="189" t="s">
        <v>150</v>
      </c>
      <c r="C91" s="189"/>
      <c r="D91" s="189"/>
      <c r="E91" s="189"/>
    </row>
    <row r="110" spans="1:1" x14ac:dyDescent="0.55000000000000004">
      <c r="A110" s="41" t="s">
        <v>73</v>
      </c>
    </row>
    <row r="111" spans="1:1" x14ac:dyDescent="0.55000000000000004">
      <c r="A111" s="40"/>
    </row>
    <row r="112" spans="1:1" x14ac:dyDescent="0.55000000000000004">
      <c r="A112" s="10" t="s">
        <v>76</v>
      </c>
    </row>
    <row r="114" spans="1:6" x14ac:dyDescent="0.55000000000000004">
      <c r="A114" s="9" t="s">
        <v>151</v>
      </c>
      <c r="B114" s="9" t="s">
        <v>152</v>
      </c>
      <c r="C114" s="9" t="s">
        <v>153</v>
      </c>
      <c r="D114" s="9" t="s">
        <v>154</v>
      </c>
      <c r="E114" s="9" t="s">
        <v>155</v>
      </c>
      <c r="F114" s="9" t="s">
        <v>156</v>
      </c>
    </row>
    <row r="115" spans="1:6" ht="57.6" x14ac:dyDescent="0.55000000000000004">
      <c r="A115" s="57">
        <v>45159</v>
      </c>
      <c r="B115" s="54" t="s">
        <v>169</v>
      </c>
      <c r="C115" s="54" t="s">
        <v>157</v>
      </c>
      <c r="D115" s="54" t="s">
        <v>158</v>
      </c>
      <c r="E115" s="54" t="s">
        <v>170</v>
      </c>
      <c r="F115" s="54" t="s">
        <v>171</v>
      </c>
    </row>
    <row r="116" spans="1:6" ht="57.6" x14ac:dyDescent="0.55000000000000004">
      <c r="A116" s="58">
        <v>44531</v>
      </c>
      <c r="B116" s="54" t="s">
        <v>172</v>
      </c>
      <c r="C116" s="54" t="s">
        <v>159</v>
      </c>
      <c r="D116" s="54" t="s">
        <v>173</v>
      </c>
      <c r="E116" s="54" t="s">
        <v>160</v>
      </c>
      <c r="F116" s="54" t="s">
        <v>174</v>
      </c>
    </row>
    <row r="117" spans="1:6" ht="72" x14ac:dyDescent="0.55000000000000004">
      <c r="A117" s="57">
        <v>45684</v>
      </c>
      <c r="B117" s="54" t="s">
        <v>161</v>
      </c>
      <c r="C117" s="54" t="s">
        <v>162</v>
      </c>
      <c r="D117" s="54" t="s">
        <v>175</v>
      </c>
      <c r="E117" s="54" t="s">
        <v>176</v>
      </c>
      <c r="F117" s="54" t="s">
        <v>177</v>
      </c>
    </row>
    <row r="118" spans="1:6" ht="72" x14ac:dyDescent="0.55000000000000004">
      <c r="A118" s="54" t="s">
        <v>182</v>
      </c>
      <c r="B118" s="54" t="s">
        <v>178</v>
      </c>
      <c r="C118" s="54" t="s">
        <v>163</v>
      </c>
      <c r="D118" s="54" t="s">
        <v>164</v>
      </c>
      <c r="E118" s="54" t="s">
        <v>165</v>
      </c>
      <c r="F118" s="54" t="s">
        <v>179</v>
      </c>
    </row>
    <row r="119" spans="1:6" ht="57.6" x14ac:dyDescent="0.55000000000000004">
      <c r="A119" s="54" t="s">
        <v>166</v>
      </c>
      <c r="B119" s="54" t="s">
        <v>180</v>
      </c>
      <c r="C119" s="54" t="s">
        <v>159</v>
      </c>
      <c r="D119" s="54" t="s">
        <v>167</v>
      </c>
      <c r="E119" s="54" t="s">
        <v>168</v>
      </c>
      <c r="F119" s="54" t="s">
        <v>181</v>
      </c>
    </row>
    <row r="120" spans="1:6" x14ac:dyDescent="0.55000000000000004">
      <c r="A120" s="47"/>
      <c r="B120" s="34"/>
      <c r="C120" s="34"/>
      <c r="D120" s="34"/>
      <c r="E120" s="34"/>
      <c r="F120" s="34"/>
    </row>
    <row r="121" spans="1:6" x14ac:dyDescent="0.55000000000000004">
      <c r="A121" s="47"/>
      <c r="B121" s="34"/>
      <c r="C121" s="34"/>
      <c r="D121" s="34"/>
      <c r="E121" s="34"/>
      <c r="F121" s="34"/>
    </row>
    <row r="123" spans="1:6" x14ac:dyDescent="0.55000000000000004">
      <c r="A123" s="5"/>
    </row>
    <row r="131" spans="1:6" x14ac:dyDescent="0.55000000000000004">
      <c r="A131" s="41" t="s">
        <v>73</v>
      </c>
    </row>
    <row r="133" spans="1:6" ht="15.6" x14ac:dyDescent="0.6">
      <c r="A133" s="187" t="s">
        <v>38</v>
      </c>
      <c r="B133" s="187"/>
      <c r="C133" s="187"/>
      <c r="D133" s="187"/>
      <c r="E133" s="187"/>
      <c r="F133" s="187"/>
    </row>
  </sheetData>
  <mergeCells count="8">
    <mergeCell ref="A133:F133"/>
    <mergeCell ref="A1:F1"/>
    <mergeCell ref="A88:F88"/>
    <mergeCell ref="A70:F70"/>
    <mergeCell ref="A32:F32"/>
    <mergeCell ref="A3:F3"/>
    <mergeCell ref="B91:E91"/>
    <mergeCell ref="A90:E90"/>
  </mergeCells>
  <hyperlinks>
    <hyperlink ref="A30" location="'All References'!A5" display="'All References'!A5" xr:uid="{D0A9E7E5-FE1C-4A0C-8ECB-607905009C32}"/>
    <hyperlink ref="A85" location="'All References'!A9" display="Check References" xr:uid="{2F247A00-E053-4CC3-BC83-08AEDEC2A5FB}"/>
    <hyperlink ref="A110" location="'All References'!A12" display="Check References" xr:uid="{F2CB7D5B-24A6-4D9E-A207-06ABBF7982EF}"/>
    <hyperlink ref="A131" location="'All References'!A12" display="Check References" xr:uid="{C87C9E5C-8BEA-4E84-AEC8-361E0A15D83E}"/>
    <hyperlink ref="A68" location="'All References'!A9" display="Check References" xr:uid="{45CE3ACE-2349-45C1-A911-5B041637D2AF}"/>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40D4D-F65C-4521-A623-5BC24D316581}">
  <dimension ref="A1:F109"/>
  <sheetViews>
    <sheetView topLeftCell="A106" zoomScaleNormal="100" workbookViewId="0">
      <selection sqref="A1:C1"/>
    </sheetView>
  </sheetViews>
  <sheetFormatPr defaultRowHeight="14.4" x14ac:dyDescent="0.55000000000000004"/>
  <cols>
    <col min="1" max="1" width="51" style="10" bestFit="1" customWidth="1"/>
    <col min="2" max="2" width="42.20703125" bestFit="1" customWidth="1"/>
    <col min="3" max="3" width="10.3671875" bestFit="1" customWidth="1"/>
  </cols>
  <sheetData>
    <row r="1" spans="1:3" ht="20.399999999999999" x14ac:dyDescent="0.75">
      <c r="A1" s="188" t="s">
        <v>113</v>
      </c>
      <c r="B1" s="188"/>
      <c r="C1" s="188"/>
    </row>
    <row r="2" spans="1:3" x14ac:dyDescent="0.55000000000000004">
      <c r="A2"/>
    </row>
    <row r="3" spans="1:3" ht="15.6" x14ac:dyDescent="0.6">
      <c r="A3" s="191" t="s">
        <v>25</v>
      </c>
      <c r="B3" s="191"/>
      <c r="C3" s="15"/>
    </row>
    <row r="4" spans="1:3" ht="28.8" x14ac:dyDescent="0.55000000000000004">
      <c r="A4" s="59" t="s">
        <v>183</v>
      </c>
      <c r="B4" s="59" t="s">
        <v>185</v>
      </c>
      <c r="C4" s="8"/>
    </row>
    <row r="5" spans="1:3" ht="72" x14ac:dyDescent="0.55000000000000004">
      <c r="A5" s="59" t="s">
        <v>12</v>
      </c>
      <c r="B5" s="59" t="s">
        <v>186</v>
      </c>
      <c r="C5" s="8"/>
    </row>
    <row r="6" spans="1:3" ht="14.4" customHeight="1" x14ac:dyDescent="0.55000000000000004">
      <c r="A6" s="59" t="s">
        <v>44</v>
      </c>
      <c r="B6" s="60">
        <v>604.4</v>
      </c>
      <c r="C6" s="8"/>
    </row>
    <row r="7" spans="1:3" ht="14.7" customHeight="1" x14ac:dyDescent="0.55000000000000004">
      <c r="A7" s="59" t="s">
        <v>13</v>
      </c>
      <c r="B7" s="60">
        <v>640.75</v>
      </c>
      <c r="C7" s="8"/>
    </row>
    <row r="8" spans="1:3" x14ac:dyDescent="0.55000000000000004">
      <c r="A8" s="59" t="s">
        <v>43</v>
      </c>
      <c r="B8" s="60">
        <f>B7-299</f>
        <v>341.75</v>
      </c>
      <c r="C8" s="8"/>
    </row>
    <row r="9" spans="1:3" x14ac:dyDescent="0.55000000000000004">
      <c r="A9" s="59" t="s">
        <v>14</v>
      </c>
      <c r="B9" s="61">
        <f>B8/299</f>
        <v>1.1429765886287626</v>
      </c>
      <c r="C9" s="8"/>
    </row>
    <row r="10" spans="1:3" ht="86.4" x14ac:dyDescent="0.55000000000000004">
      <c r="A10" s="59" t="s">
        <v>184</v>
      </c>
      <c r="B10" s="59" t="s">
        <v>187</v>
      </c>
      <c r="C10" s="8"/>
    </row>
    <row r="11" spans="1:3" ht="158.4" x14ac:dyDescent="0.55000000000000004">
      <c r="A11" s="59" t="s">
        <v>15</v>
      </c>
      <c r="B11" s="59" t="s">
        <v>188</v>
      </c>
      <c r="C11" s="8"/>
    </row>
    <row r="12" spans="1:3" ht="115.2" x14ac:dyDescent="0.55000000000000004">
      <c r="A12" s="59" t="s">
        <v>16</v>
      </c>
      <c r="B12" s="59" t="s">
        <v>189</v>
      </c>
      <c r="C12" s="50"/>
    </row>
    <row r="13" spans="1:3" ht="100.8" x14ac:dyDescent="0.55000000000000004">
      <c r="A13" s="59" t="s">
        <v>17</v>
      </c>
      <c r="B13" s="59" t="s">
        <v>190</v>
      </c>
      <c r="C13" s="8"/>
    </row>
    <row r="14" spans="1:3" x14ac:dyDescent="0.55000000000000004">
      <c r="A14" s="59" t="s">
        <v>18</v>
      </c>
      <c r="B14" s="59" t="s">
        <v>191</v>
      </c>
      <c r="C14" s="8"/>
    </row>
    <row r="15" spans="1:3" x14ac:dyDescent="0.55000000000000004">
      <c r="A15" s="8"/>
      <c r="B15" s="8"/>
      <c r="C15" s="8"/>
    </row>
    <row r="16" spans="1:3" x14ac:dyDescent="0.55000000000000004">
      <c r="A16" s="13"/>
    </row>
    <row r="17" spans="1:6" x14ac:dyDescent="0.55000000000000004">
      <c r="A17" s="192" t="s">
        <v>197</v>
      </c>
      <c r="B17" s="192"/>
    </row>
    <row r="18" spans="1:6" x14ac:dyDescent="0.55000000000000004">
      <c r="A18" s="6" t="s">
        <v>54</v>
      </c>
      <c r="B18" s="6" t="s">
        <v>192</v>
      </c>
    </row>
    <row r="19" spans="1:6" x14ac:dyDescent="0.55000000000000004">
      <c r="A19" s="2" t="s">
        <v>193</v>
      </c>
      <c r="B19" s="62">
        <v>0.747</v>
      </c>
    </row>
    <row r="20" spans="1:6" x14ac:dyDescent="0.55000000000000004">
      <c r="A20" s="2" t="s">
        <v>194</v>
      </c>
      <c r="B20" s="62">
        <v>8.6999999999999994E-2</v>
      </c>
    </row>
    <row r="21" spans="1:6" x14ac:dyDescent="0.55000000000000004">
      <c r="A21" s="2" t="s">
        <v>195</v>
      </c>
      <c r="B21" s="62">
        <v>9.0999999999999998E-2</v>
      </c>
    </row>
    <row r="22" spans="1:6" x14ac:dyDescent="0.55000000000000004">
      <c r="A22" s="2" t="s">
        <v>196</v>
      </c>
      <c r="B22" s="62">
        <v>7.4999999999999997E-2</v>
      </c>
      <c r="C22" s="63"/>
    </row>
    <row r="28" spans="1:6" x14ac:dyDescent="0.55000000000000004">
      <c r="F28" s="8"/>
    </row>
    <row r="42" spans="1:3" ht="15.6" x14ac:dyDescent="0.6">
      <c r="C42" s="16"/>
    </row>
    <row r="47" spans="1:3" x14ac:dyDescent="0.55000000000000004">
      <c r="A47"/>
    </row>
    <row r="48" spans="1:3" x14ac:dyDescent="0.55000000000000004">
      <c r="A48"/>
    </row>
    <row r="49" spans="1:1" x14ac:dyDescent="0.55000000000000004">
      <c r="A49"/>
    </row>
    <row r="109" spans="1:1" x14ac:dyDescent="0.55000000000000004">
      <c r="A109" s="39" t="s">
        <v>73</v>
      </c>
    </row>
  </sheetData>
  <mergeCells count="3">
    <mergeCell ref="A1:C1"/>
    <mergeCell ref="A3:B3"/>
    <mergeCell ref="A17:B17"/>
  </mergeCells>
  <hyperlinks>
    <hyperlink ref="A109" location="'All References'!A22" display="Check References" xr:uid="{74710EBF-6704-4223-8D53-3C3442868531}"/>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4C45-472A-4C46-8440-C042B4DA7D5B}">
  <dimension ref="A1:F287"/>
  <sheetViews>
    <sheetView zoomScale="90" zoomScaleNormal="90" workbookViewId="0">
      <selection activeCell="C136" sqref="C136"/>
    </sheetView>
  </sheetViews>
  <sheetFormatPr defaultRowHeight="14.4" x14ac:dyDescent="0.55000000000000004"/>
  <cols>
    <col min="1" max="1" width="49.5234375" style="33" bestFit="1" customWidth="1"/>
    <col min="2" max="2" width="42.9453125" style="34" customWidth="1"/>
    <col min="3" max="3" width="25.20703125" style="34" customWidth="1"/>
    <col min="4" max="4" width="29.734375" style="34" bestFit="1" customWidth="1"/>
    <col min="5" max="5" width="17.62890625" style="34" bestFit="1" customWidth="1"/>
    <col min="6" max="6" width="16.83984375" style="34" bestFit="1" customWidth="1"/>
    <col min="7" max="13" width="8.83984375" style="34"/>
    <col min="14" max="16" width="13.26171875" style="34" bestFit="1" customWidth="1"/>
    <col min="17" max="16384" width="8.83984375" style="34"/>
  </cols>
  <sheetData>
    <row r="1" spans="1:5" customFormat="1" ht="20.399999999999999" x14ac:dyDescent="0.75">
      <c r="A1" s="188" t="s">
        <v>114</v>
      </c>
      <c r="B1" s="188"/>
      <c r="C1" s="188"/>
    </row>
    <row r="2" spans="1:5" customFormat="1" x14ac:dyDescent="0.55000000000000004"/>
    <row r="3" spans="1:5" customFormat="1" ht="15.6" x14ac:dyDescent="0.6">
      <c r="A3" s="191" t="s">
        <v>45</v>
      </c>
      <c r="B3" s="191"/>
      <c r="C3" s="15"/>
    </row>
    <row r="4" spans="1:5" customFormat="1" ht="15.6" x14ac:dyDescent="0.6">
      <c r="A4" s="31"/>
      <c r="B4" s="31"/>
      <c r="C4" s="15"/>
    </row>
    <row r="5" spans="1:5" customFormat="1" ht="15.6" x14ac:dyDescent="0.6">
      <c r="A5" s="31" t="s">
        <v>279</v>
      </c>
      <c r="B5" s="31"/>
      <c r="C5" s="15"/>
    </row>
    <row r="6" spans="1:5" customFormat="1" ht="15.6" x14ac:dyDescent="0.6">
      <c r="A6" s="31"/>
      <c r="B6" s="31"/>
      <c r="C6" s="15"/>
    </row>
    <row r="7" spans="1:5" customFormat="1" x14ac:dyDescent="0.55000000000000004">
      <c r="A7" s="6" t="s">
        <v>69</v>
      </c>
      <c r="B7" s="6" t="s">
        <v>271</v>
      </c>
      <c r="C7" s="6" t="s">
        <v>272</v>
      </c>
      <c r="D7" s="6" t="s">
        <v>273</v>
      </c>
      <c r="E7" s="6" t="s">
        <v>274</v>
      </c>
    </row>
    <row r="8" spans="1:5" customFormat="1" x14ac:dyDescent="0.55000000000000004">
      <c r="A8" s="130" t="s">
        <v>275</v>
      </c>
      <c r="B8" s="131">
        <v>3350.33</v>
      </c>
      <c r="C8" s="131">
        <v>2687.01</v>
      </c>
      <c r="D8" s="131">
        <v>663.32</v>
      </c>
      <c r="E8" s="131">
        <v>0.247</v>
      </c>
    </row>
    <row r="9" spans="1:5" customFormat="1" x14ac:dyDescent="0.55000000000000004">
      <c r="A9" s="130" t="s">
        <v>276</v>
      </c>
      <c r="B9" s="131">
        <v>2597.31</v>
      </c>
      <c r="C9" s="131">
        <v>2743.02</v>
      </c>
      <c r="D9" s="131">
        <v>-145.71</v>
      </c>
      <c r="E9" s="131">
        <v>-5.2999999999999999E-2</v>
      </c>
    </row>
    <row r="10" spans="1:5" customFormat="1" x14ac:dyDescent="0.55000000000000004">
      <c r="A10" s="130" t="s">
        <v>277</v>
      </c>
      <c r="B10" s="131">
        <v>1.2909999999999999</v>
      </c>
      <c r="C10" s="131">
        <v>0.98</v>
      </c>
      <c r="D10" s="131"/>
      <c r="E10" s="131"/>
    </row>
    <row r="11" spans="1:5" customFormat="1" x14ac:dyDescent="0.55000000000000004">
      <c r="A11" s="130" t="s">
        <v>278</v>
      </c>
      <c r="B11" s="131">
        <v>5.8000000000000003E-2</v>
      </c>
      <c r="C11" s="131">
        <v>5.3999999999999999E-2</v>
      </c>
      <c r="D11" s="131"/>
      <c r="E11" s="131"/>
    </row>
    <row r="12" spans="1:5" customFormat="1" ht="15.6" x14ac:dyDescent="0.6">
      <c r="A12" s="31"/>
      <c r="B12" s="31"/>
      <c r="C12" s="15"/>
    </row>
    <row r="13" spans="1:5" customFormat="1" ht="15.6" x14ac:dyDescent="0.6">
      <c r="A13" s="31" t="s">
        <v>280</v>
      </c>
      <c r="B13" s="31"/>
      <c r="C13" s="15"/>
    </row>
    <row r="14" spans="1:5" customFormat="1" ht="15.6" x14ac:dyDescent="0.6">
      <c r="A14" s="31"/>
      <c r="B14" s="31"/>
      <c r="C14" s="15"/>
    </row>
    <row r="15" spans="1:5" customFormat="1" x14ac:dyDescent="0.55000000000000004">
      <c r="A15" s="6" t="s">
        <v>281</v>
      </c>
      <c r="B15" s="6" t="s">
        <v>271</v>
      </c>
      <c r="C15" s="6" t="s">
        <v>272</v>
      </c>
      <c r="D15" s="6" t="s">
        <v>273</v>
      </c>
      <c r="E15" s="6" t="s">
        <v>282</v>
      </c>
    </row>
    <row r="16" spans="1:5" customFormat="1" x14ac:dyDescent="0.55000000000000004">
      <c r="A16" s="130" t="s">
        <v>283</v>
      </c>
      <c r="B16" s="131">
        <v>14102.89</v>
      </c>
      <c r="C16" s="131">
        <v>11521.85</v>
      </c>
      <c r="D16" s="131">
        <v>2581.04</v>
      </c>
      <c r="E16" s="131" t="s">
        <v>284</v>
      </c>
    </row>
    <row r="17" spans="1:5" customFormat="1" x14ac:dyDescent="0.55000000000000004">
      <c r="A17" s="130" t="s">
        <v>285</v>
      </c>
      <c r="B17" s="131">
        <v>1090.51</v>
      </c>
      <c r="C17" s="131">
        <v>929.99</v>
      </c>
      <c r="D17" s="131">
        <v>160.52000000000001</v>
      </c>
      <c r="E17" s="131" t="s">
        <v>286</v>
      </c>
    </row>
    <row r="18" spans="1:5" customFormat="1" x14ac:dyDescent="0.55000000000000004">
      <c r="A18" s="130" t="s">
        <v>287</v>
      </c>
      <c r="B18" s="131">
        <v>1599.41</v>
      </c>
      <c r="C18" s="131">
        <v>1394.85</v>
      </c>
      <c r="D18" s="131">
        <v>204.56</v>
      </c>
      <c r="E18" s="131" t="s">
        <v>288</v>
      </c>
    </row>
    <row r="19" spans="1:5" customFormat="1" x14ac:dyDescent="0.55000000000000004">
      <c r="A19" s="130" t="s">
        <v>289</v>
      </c>
      <c r="B19" s="131">
        <v>1255.27</v>
      </c>
      <c r="C19" s="131">
        <v>964.17</v>
      </c>
      <c r="D19" s="131">
        <v>291.10000000000002</v>
      </c>
      <c r="E19" s="131" t="s">
        <v>290</v>
      </c>
    </row>
    <row r="20" spans="1:5" customFormat="1" x14ac:dyDescent="0.55000000000000004">
      <c r="A20" s="130" t="s">
        <v>251</v>
      </c>
      <c r="B20" s="131">
        <v>18718.78</v>
      </c>
      <c r="C20" s="131">
        <v>15505.84</v>
      </c>
      <c r="D20" s="131">
        <v>3212.94</v>
      </c>
      <c r="E20" s="131" t="s">
        <v>291</v>
      </c>
    </row>
    <row r="21" spans="1:5" customFormat="1" ht="15.6" x14ac:dyDescent="0.6">
      <c r="A21" s="31"/>
      <c r="B21" s="31"/>
      <c r="C21" s="15"/>
    </row>
    <row r="22" spans="1:5" customFormat="1" ht="15.6" x14ac:dyDescent="0.6">
      <c r="A22" s="31"/>
      <c r="B22" s="31"/>
      <c r="C22" s="15"/>
    </row>
    <row r="23" spans="1:5" customFormat="1" ht="15.6" x14ac:dyDescent="0.6">
      <c r="A23" s="31"/>
      <c r="B23" s="31"/>
      <c r="C23" s="15"/>
    </row>
    <row r="24" spans="1:5" customFormat="1" ht="15.6" x14ac:dyDescent="0.6">
      <c r="A24" s="31"/>
      <c r="B24" s="31"/>
      <c r="C24" s="15"/>
    </row>
    <row r="25" spans="1:5" customFormat="1" ht="15.6" x14ac:dyDescent="0.6">
      <c r="A25" s="31"/>
      <c r="B25" s="31"/>
      <c r="C25" s="15"/>
    </row>
    <row r="26" spans="1:5" customFormat="1" ht="15.6" x14ac:dyDescent="0.6">
      <c r="A26" s="31"/>
      <c r="B26" s="31"/>
      <c r="C26" s="15"/>
    </row>
    <row r="27" spans="1:5" customFormat="1" ht="15.6" x14ac:dyDescent="0.6">
      <c r="A27" s="31"/>
      <c r="B27" s="31"/>
      <c r="C27" s="15"/>
    </row>
    <row r="28" spans="1:5" customFormat="1" ht="15.6" x14ac:dyDescent="0.6">
      <c r="A28" s="31"/>
      <c r="B28" s="31"/>
      <c r="C28" s="15"/>
    </row>
    <row r="29" spans="1:5" customFormat="1" ht="15.6" x14ac:dyDescent="0.6">
      <c r="A29" s="31"/>
      <c r="B29" s="31"/>
      <c r="C29" s="15"/>
    </row>
    <row r="30" spans="1:5" customFormat="1" ht="15.6" x14ac:dyDescent="0.6">
      <c r="A30" s="31"/>
      <c r="B30" s="31"/>
      <c r="C30" s="15"/>
    </row>
    <row r="31" spans="1:5" customFormat="1" ht="15.6" x14ac:dyDescent="0.6">
      <c r="A31" s="31"/>
      <c r="B31" s="31"/>
      <c r="C31" s="15"/>
    </row>
    <row r="32" spans="1:5" customFormat="1" ht="15.6" x14ac:dyDescent="0.6">
      <c r="A32" s="31"/>
      <c r="B32" s="31"/>
      <c r="C32" s="15"/>
    </row>
    <row r="33" spans="1:4" customFormat="1" ht="15.6" x14ac:dyDescent="0.6">
      <c r="A33" s="31"/>
      <c r="B33" s="31"/>
      <c r="C33" s="15"/>
    </row>
    <row r="34" spans="1:4" customFormat="1" ht="15.6" x14ac:dyDescent="0.6">
      <c r="A34" s="31"/>
      <c r="B34" s="31"/>
      <c r="C34" s="15"/>
    </row>
    <row r="35" spans="1:4" customFormat="1" ht="15.6" x14ac:dyDescent="0.6">
      <c r="A35" s="31"/>
      <c r="B35" s="31"/>
      <c r="C35" s="15"/>
    </row>
    <row r="39" spans="1:4" x14ac:dyDescent="0.55000000000000004">
      <c r="A39" s="171" t="s">
        <v>73</v>
      </c>
    </row>
    <row r="41" spans="1:4" ht="15.6" x14ac:dyDescent="0.6">
      <c r="A41" s="187" t="s">
        <v>46</v>
      </c>
      <c r="B41" s="187"/>
    </row>
    <row r="42" spans="1:4" ht="15.6" x14ac:dyDescent="0.6">
      <c r="A42" s="32"/>
    </row>
    <row r="43" spans="1:4" ht="15.6" x14ac:dyDescent="0.6">
      <c r="A43" s="31" t="s">
        <v>86</v>
      </c>
      <c r="B43" s="46" t="s">
        <v>87</v>
      </c>
    </row>
    <row r="45" spans="1:4" x14ac:dyDescent="0.55000000000000004">
      <c r="A45" s="47" t="s">
        <v>200</v>
      </c>
    </row>
    <row r="46" spans="1:4" ht="14.7" thickBot="1" x14ac:dyDescent="0.6">
      <c r="D46" s="44" t="s">
        <v>201</v>
      </c>
    </row>
    <row r="47" spans="1:4" ht="15.6" x14ac:dyDescent="0.6">
      <c r="A47" s="73" t="s">
        <v>83</v>
      </c>
      <c r="B47" s="90" t="s">
        <v>202</v>
      </c>
      <c r="C47" s="90" t="s">
        <v>203</v>
      </c>
      <c r="D47" s="91" t="s">
        <v>204</v>
      </c>
    </row>
    <row r="48" spans="1:4" x14ac:dyDescent="0.55000000000000004">
      <c r="A48" s="68" t="s">
        <v>82</v>
      </c>
      <c r="B48" s="94">
        <v>5044.37</v>
      </c>
      <c r="C48" s="94">
        <v>3927.31</v>
      </c>
      <c r="D48" s="95">
        <v>3243.48</v>
      </c>
    </row>
    <row r="49" spans="1:4" x14ac:dyDescent="0.55000000000000004">
      <c r="A49" s="69" t="s">
        <v>250</v>
      </c>
      <c r="B49" s="94"/>
      <c r="C49" s="94"/>
      <c r="D49" s="95"/>
    </row>
    <row r="50" spans="1:4" x14ac:dyDescent="0.55000000000000004">
      <c r="A50" s="68" t="s">
        <v>249</v>
      </c>
      <c r="B50" s="94">
        <v>1.25</v>
      </c>
      <c r="C50" s="94">
        <v>106.66</v>
      </c>
      <c r="D50" s="95">
        <v>202.19</v>
      </c>
    </row>
    <row r="51" spans="1:4" x14ac:dyDescent="0.55000000000000004">
      <c r="A51" s="68" t="s">
        <v>248</v>
      </c>
      <c r="B51" s="94">
        <v>153.79</v>
      </c>
      <c r="C51" s="94">
        <v>166.37</v>
      </c>
      <c r="D51" s="95">
        <v>62.16</v>
      </c>
    </row>
    <row r="52" spans="1:4" x14ac:dyDescent="0.55000000000000004">
      <c r="A52" s="68" t="s">
        <v>247</v>
      </c>
      <c r="B52" s="94">
        <v>355.48</v>
      </c>
      <c r="C52" s="94">
        <v>337.12</v>
      </c>
      <c r="D52" s="95">
        <v>207.15</v>
      </c>
    </row>
    <row r="53" spans="1:4" x14ac:dyDescent="0.55000000000000004">
      <c r="A53" s="68" t="s">
        <v>265</v>
      </c>
      <c r="B53" s="94">
        <v>2.72</v>
      </c>
      <c r="C53" s="94">
        <v>301.06</v>
      </c>
      <c r="D53" s="95">
        <v>1201.18</v>
      </c>
    </row>
    <row r="54" spans="1:4" x14ac:dyDescent="0.55000000000000004">
      <c r="A54" s="68" t="s">
        <v>246</v>
      </c>
      <c r="B54" s="94">
        <v>528.36</v>
      </c>
      <c r="C54" s="94">
        <v>1128.49</v>
      </c>
      <c r="D54" s="95">
        <v>316.77</v>
      </c>
    </row>
    <row r="55" spans="1:4" x14ac:dyDescent="0.55000000000000004">
      <c r="A55" s="68" t="s">
        <v>245</v>
      </c>
      <c r="B55" s="94">
        <v>306.23</v>
      </c>
      <c r="C55" s="94">
        <v>235.02</v>
      </c>
      <c r="D55" s="95">
        <v>215.46</v>
      </c>
    </row>
    <row r="56" spans="1:4" ht="14.7" thickBot="1" x14ac:dyDescent="0.6">
      <c r="A56" s="74" t="s">
        <v>205</v>
      </c>
      <c r="B56" s="98">
        <v>6392.1999999999989</v>
      </c>
      <c r="C56" s="98">
        <v>6202.0300000000007</v>
      </c>
      <c r="D56" s="99">
        <v>5448.39</v>
      </c>
    </row>
    <row r="57" spans="1:4" s="89" customFormat="1" x14ac:dyDescent="0.55000000000000004">
      <c r="A57" s="87"/>
      <c r="B57" s="88"/>
      <c r="C57" s="88"/>
      <c r="D57" s="88"/>
    </row>
    <row r="58" spans="1:4" ht="14.7" thickBot="1" x14ac:dyDescent="0.6">
      <c r="D58" s="44" t="s">
        <v>201</v>
      </c>
    </row>
    <row r="59" spans="1:4" ht="15.6" x14ac:dyDescent="0.6">
      <c r="A59" s="73" t="s">
        <v>77</v>
      </c>
      <c r="B59" s="90" t="s">
        <v>202</v>
      </c>
      <c r="C59" s="90" t="s">
        <v>203</v>
      </c>
      <c r="D59" s="91" t="s">
        <v>204</v>
      </c>
    </row>
    <row r="60" spans="1:4" x14ac:dyDescent="0.55000000000000004">
      <c r="A60" s="69" t="s">
        <v>236</v>
      </c>
      <c r="B60" s="92"/>
      <c r="C60" s="92"/>
      <c r="D60" s="93"/>
    </row>
    <row r="61" spans="1:4" x14ac:dyDescent="0.55000000000000004">
      <c r="A61" s="68" t="s">
        <v>235</v>
      </c>
      <c r="B61" s="94">
        <v>263.83</v>
      </c>
      <c r="C61" s="94">
        <v>192.92</v>
      </c>
      <c r="D61" s="95">
        <v>166.32</v>
      </c>
    </row>
    <row r="62" spans="1:4" x14ac:dyDescent="0.55000000000000004">
      <c r="A62" s="69" t="s">
        <v>234</v>
      </c>
      <c r="B62" s="94"/>
      <c r="C62" s="94"/>
      <c r="D62" s="95"/>
    </row>
    <row r="63" spans="1:4" x14ac:dyDescent="0.55000000000000004">
      <c r="A63" s="68" t="s">
        <v>233</v>
      </c>
      <c r="B63" s="94">
        <v>289.52999999999997</v>
      </c>
      <c r="C63" s="94">
        <v>230.6</v>
      </c>
      <c r="D63" s="95">
        <v>76.290000000000006</v>
      </c>
    </row>
    <row r="64" spans="1:4" x14ac:dyDescent="0.55000000000000004">
      <c r="A64" s="68" t="s">
        <v>232</v>
      </c>
      <c r="B64" s="94">
        <v>781.28</v>
      </c>
      <c r="C64" s="94">
        <v>754.21</v>
      </c>
      <c r="D64" s="95">
        <v>677.5</v>
      </c>
    </row>
    <row r="65" spans="1:4" x14ac:dyDescent="0.55000000000000004">
      <c r="A65" s="68" t="s">
        <v>231</v>
      </c>
      <c r="B65" s="94">
        <v>448.64</v>
      </c>
      <c r="C65" s="94">
        <v>389.85</v>
      </c>
      <c r="D65" s="95">
        <v>289.45999999999998</v>
      </c>
    </row>
    <row r="66" spans="1:4" x14ac:dyDescent="0.55000000000000004">
      <c r="A66" s="68" t="s">
        <v>230</v>
      </c>
      <c r="B66" s="94">
        <v>138.62</v>
      </c>
      <c r="C66" s="94">
        <v>95.74</v>
      </c>
      <c r="D66" s="95">
        <v>121.18</v>
      </c>
    </row>
    <row r="67" spans="1:4" x14ac:dyDescent="0.55000000000000004">
      <c r="A67" s="68" t="s">
        <v>229</v>
      </c>
      <c r="B67" s="94">
        <v>49.14</v>
      </c>
      <c r="C67" s="94">
        <v>61.04</v>
      </c>
      <c r="D67" s="95">
        <v>50.87</v>
      </c>
    </row>
    <row r="68" spans="1:4" x14ac:dyDescent="0.55000000000000004">
      <c r="A68" s="68" t="s">
        <v>228</v>
      </c>
      <c r="B68" s="94">
        <v>241.12</v>
      </c>
      <c r="C68" s="94">
        <v>254.78</v>
      </c>
      <c r="D68" s="95">
        <v>85.39</v>
      </c>
    </row>
    <row r="69" spans="1:4" ht="14.7" thickBot="1" x14ac:dyDescent="0.6">
      <c r="A69" s="72" t="s">
        <v>206</v>
      </c>
      <c r="B69" s="96">
        <v>2212.16</v>
      </c>
      <c r="C69" s="96">
        <v>1979.1399999999999</v>
      </c>
      <c r="D69" s="97">
        <v>1467.01</v>
      </c>
    </row>
    <row r="70" spans="1:4" x14ac:dyDescent="0.55000000000000004">
      <c r="A70" s="126"/>
      <c r="B70" s="127"/>
      <c r="C70" s="127"/>
      <c r="D70" s="127"/>
    </row>
    <row r="71" spans="1:4" x14ac:dyDescent="0.55000000000000004">
      <c r="A71" s="33" t="s">
        <v>88</v>
      </c>
    </row>
    <row r="72" spans="1:4" ht="14.7" thickBot="1" x14ac:dyDescent="0.6">
      <c r="D72" s="44" t="s">
        <v>201</v>
      </c>
    </row>
    <row r="73" spans="1:4" x14ac:dyDescent="0.55000000000000004">
      <c r="A73" s="77" t="s">
        <v>69</v>
      </c>
      <c r="B73" s="79" t="s">
        <v>204</v>
      </c>
      <c r="C73" s="78" t="s">
        <v>203</v>
      </c>
      <c r="D73" s="79" t="s">
        <v>202</v>
      </c>
    </row>
    <row r="74" spans="1:4" ht="15.6" x14ac:dyDescent="0.6">
      <c r="A74" s="80" t="s">
        <v>205</v>
      </c>
      <c r="B74" s="82">
        <f>D56</f>
        <v>5448.39</v>
      </c>
      <c r="C74" s="81">
        <f>C56</f>
        <v>6202.0300000000007</v>
      </c>
      <c r="D74" s="82">
        <f>B56</f>
        <v>6392.1999999999989</v>
      </c>
    </row>
    <row r="75" spans="1:4" ht="15.9" thickBot="1" x14ac:dyDescent="0.65">
      <c r="A75" s="83" t="s">
        <v>206</v>
      </c>
      <c r="B75" s="84">
        <f>D69</f>
        <v>1467.01</v>
      </c>
      <c r="C75" s="75">
        <f>C69</f>
        <v>1979.1399999999999</v>
      </c>
      <c r="D75" s="84">
        <f>B69</f>
        <v>2212.16</v>
      </c>
    </row>
    <row r="76" spans="1:4" ht="15.9" thickBot="1" x14ac:dyDescent="0.65">
      <c r="A76" s="85" t="s">
        <v>46</v>
      </c>
      <c r="B76" s="86">
        <f>B74-B75</f>
        <v>3981.38</v>
      </c>
      <c r="C76" s="76">
        <f>C74-C75</f>
        <v>4222.8900000000012</v>
      </c>
      <c r="D76" s="86">
        <f>D74-D75</f>
        <v>4180.0399999999991</v>
      </c>
    </row>
    <row r="94" spans="1:4" x14ac:dyDescent="0.55000000000000004">
      <c r="A94" s="34"/>
    </row>
    <row r="95" spans="1:4" x14ac:dyDescent="0.55000000000000004">
      <c r="A95" s="45"/>
      <c r="B95" s="43"/>
      <c r="C95" s="43"/>
      <c r="D95" s="43"/>
    </row>
    <row r="96" spans="1:4" ht="15.6" x14ac:dyDescent="0.6">
      <c r="A96" s="31" t="s">
        <v>89</v>
      </c>
      <c r="B96" s="43"/>
      <c r="C96" s="43"/>
      <c r="D96" s="43"/>
    </row>
    <row r="97" spans="1:4" x14ac:dyDescent="0.55000000000000004">
      <c r="A97" s="45"/>
      <c r="B97" s="43"/>
      <c r="C97" s="43"/>
      <c r="D97" s="43"/>
    </row>
    <row r="98" spans="1:4" x14ac:dyDescent="0.55000000000000004">
      <c r="A98" s="45"/>
      <c r="B98" s="43"/>
      <c r="C98" s="43"/>
      <c r="D98" s="43"/>
    </row>
    <row r="99" spans="1:4" x14ac:dyDescent="0.55000000000000004">
      <c r="A99" s="45"/>
      <c r="B99" s="43"/>
      <c r="C99" s="43"/>
      <c r="D99" s="43"/>
    </row>
    <row r="100" spans="1:4" x14ac:dyDescent="0.55000000000000004">
      <c r="A100" s="45"/>
      <c r="B100" s="43"/>
      <c r="C100" s="43"/>
      <c r="D100" s="43"/>
    </row>
    <row r="101" spans="1:4" x14ac:dyDescent="0.55000000000000004">
      <c r="A101" s="45"/>
      <c r="B101" s="43"/>
      <c r="C101" s="43"/>
      <c r="D101" s="43"/>
    </row>
    <row r="102" spans="1:4" x14ac:dyDescent="0.55000000000000004">
      <c r="A102" s="45"/>
      <c r="B102" s="43"/>
      <c r="C102" s="43"/>
      <c r="D102" s="43"/>
    </row>
    <row r="103" spans="1:4" x14ac:dyDescent="0.55000000000000004">
      <c r="A103" s="45"/>
      <c r="B103" s="43"/>
      <c r="C103" s="43"/>
      <c r="D103" s="43"/>
    </row>
    <row r="104" spans="1:4" x14ac:dyDescent="0.55000000000000004">
      <c r="A104" s="45"/>
      <c r="B104" s="43"/>
      <c r="C104" s="43"/>
      <c r="D104" s="43"/>
    </row>
    <row r="105" spans="1:4" x14ac:dyDescent="0.55000000000000004">
      <c r="A105" s="45"/>
      <c r="B105" s="43"/>
      <c r="C105" s="43"/>
      <c r="D105" s="43"/>
    </row>
    <row r="106" spans="1:4" x14ac:dyDescent="0.55000000000000004">
      <c r="A106" s="45"/>
      <c r="B106" s="43"/>
      <c r="C106" s="43"/>
      <c r="D106" s="43"/>
    </row>
    <row r="107" spans="1:4" x14ac:dyDescent="0.55000000000000004">
      <c r="A107" s="45"/>
      <c r="B107" s="43"/>
      <c r="C107" s="43"/>
      <c r="D107" s="43"/>
    </row>
    <row r="108" spans="1:4" x14ac:dyDescent="0.55000000000000004">
      <c r="A108" s="45"/>
      <c r="B108" s="43"/>
      <c r="C108" s="43"/>
      <c r="D108" s="43"/>
    </row>
    <row r="109" spans="1:4" x14ac:dyDescent="0.55000000000000004">
      <c r="A109" s="45"/>
      <c r="B109" s="43"/>
      <c r="C109" s="43"/>
      <c r="D109" s="43"/>
    </row>
    <row r="110" spans="1:4" x14ac:dyDescent="0.55000000000000004">
      <c r="A110" s="45"/>
      <c r="B110" s="43"/>
      <c r="C110" s="43"/>
      <c r="D110" s="43"/>
    </row>
    <row r="111" spans="1:4" x14ac:dyDescent="0.55000000000000004">
      <c r="A111" s="45"/>
      <c r="B111" s="43"/>
      <c r="C111" s="43"/>
      <c r="D111" s="43"/>
    </row>
    <row r="112" spans="1:4" x14ac:dyDescent="0.55000000000000004">
      <c r="A112" s="45"/>
      <c r="B112" s="43"/>
      <c r="C112" s="43"/>
      <c r="D112" s="43"/>
    </row>
    <row r="113" spans="1:4" x14ac:dyDescent="0.55000000000000004">
      <c r="A113" s="45"/>
      <c r="B113" s="43"/>
      <c r="C113" s="43"/>
      <c r="D113" s="43"/>
    </row>
    <row r="114" spans="1:4" x14ac:dyDescent="0.55000000000000004">
      <c r="A114" s="45"/>
      <c r="B114" s="43"/>
      <c r="C114" s="43"/>
      <c r="D114" s="43"/>
    </row>
    <row r="115" spans="1:4" x14ac:dyDescent="0.55000000000000004">
      <c r="A115" s="45"/>
      <c r="B115" s="43"/>
      <c r="C115" s="43"/>
      <c r="D115" s="43"/>
    </row>
    <row r="116" spans="1:4" x14ac:dyDescent="0.55000000000000004">
      <c r="A116" s="45"/>
      <c r="B116" s="43"/>
      <c r="C116" s="43"/>
      <c r="D116" s="43"/>
    </row>
    <row r="117" spans="1:4" x14ac:dyDescent="0.55000000000000004">
      <c r="A117" s="45"/>
      <c r="B117" s="43"/>
      <c r="C117" s="43"/>
      <c r="D117" s="43"/>
    </row>
    <row r="118" spans="1:4" x14ac:dyDescent="0.55000000000000004">
      <c r="A118" s="45"/>
      <c r="B118" s="43"/>
      <c r="C118" s="43"/>
      <c r="D118" s="43"/>
    </row>
    <row r="119" spans="1:4" x14ac:dyDescent="0.55000000000000004">
      <c r="A119" s="45"/>
      <c r="B119" s="43"/>
      <c r="C119" s="43"/>
      <c r="D119" s="43"/>
    </row>
    <row r="120" spans="1:4" x14ac:dyDescent="0.55000000000000004">
      <c r="A120" s="45"/>
      <c r="B120" s="43"/>
      <c r="C120" s="43"/>
      <c r="D120" s="43"/>
    </row>
    <row r="121" spans="1:4" x14ac:dyDescent="0.55000000000000004">
      <c r="A121" s="45"/>
      <c r="B121" s="43"/>
      <c r="C121" s="43"/>
      <c r="D121" s="43"/>
    </row>
    <row r="122" spans="1:4" x14ac:dyDescent="0.55000000000000004">
      <c r="A122" s="45"/>
      <c r="B122" s="43"/>
      <c r="C122" s="43"/>
      <c r="D122" s="43"/>
    </row>
    <row r="123" spans="1:4" x14ac:dyDescent="0.55000000000000004">
      <c r="A123" s="45"/>
      <c r="B123" s="43"/>
      <c r="C123" s="43"/>
      <c r="D123" s="43"/>
    </row>
    <row r="124" spans="1:4" x14ac:dyDescent="0.55000000000000004">
      <c r="A124" s="45"/>
      <c r="B124" s="43"/>
      <c r="C124" s="43"/>
      <c r="D124" s="43"/>
    </row>
    <row r="125" spans="1:4" x14ac:dyDescent="0.55000000000000004">
      <c r="A125" s="45"/>
      <c r="B125" s="43"/>
      <c r="C125" s="43"/>
      <c r="D125" s="43"/>
    </row>
    <row r="126" spans="1:4" x14ac:dyDescent="0.55000000000000004">
      <c r="A126" s="45"/>
      <c r="B126" s="43"/>
      <c r="C126" s="43"/>
      <c r="D126" s="43"/>
    </row>
    <row r="127" spans="1:4" ht="15.6" x14ac:dyDescent="0.6">
      <c r="A127" s="16"/>
      <c r="B127" s="16"/>
    </row>
    <row r="128" spans="1:4" x14ac:dyDescent="0.55000000000000004">
      <c r="A128" s="171" t="s">
        <v>73</v>
      </c>
    </row>
    <row r="130" spans="1:4" s="35" customFormat="1" ht="15.6" x14ac:dyDescent="0.6">
      <c r="A130" s="187" t="s">
        <v>47</v>
      </c>
      <c r="B130" s="187"/>
      <c r="C130" s="16"/>
    </row>
    <row r="132" spans="1:4" x14ac:dyDescent="0.55000000000000004">
      <c r="A132" s="33" t="s">
        <v>209</v>
      </c>
    </row>
    <row r="133" spans="1:4" x14ac:dyDescent="0.55000000000000004">
      <c r="D133" s="44" t="s">
        <v>201</v>
      </c>
    </row>
    <row r="134" spans="1:4" x14ac:dyDescent="0.55000000000000004">
      <c r="A134" s="100" t="s">
        <v>69</v>
      </c>
      <c r="B134" s="100" t="s">
        <v>210</v>
      </c>
      <c r="C134" s="100" t="s">
        <v>226</v>
      </c>
      <c r="D134" s="100" t="s">
        <v>211</v>
      </c>
    </row>
    <row r="135" spans="1:4" x14ac:dyDescent="0.55000000000000004">
      <c r="A135" s="172" t="s">
        <v>212</v>
      </c>
      <c r="B135" s="173">
        <v>650.73</v>
      </c>
      <c r="C135" s="173">
        <v>650.73</v>
      </c>
      <c r="D135" s="173">
        <v>650.73</v>
      </c>
    </row>
    <row r="136" spans="1:4" x14ac:dyDescent="0.55000000000000004">
      <c r="A136" s="172" t="s">
        <v>213</v>
      </c>
      <c r="B136" s="173">
        <v>21579.439999999999</v>
      </c>
      <c r="C136" s="173">
        <v>20089</v>
      </c>
      <c r="D136" s="173">
        <v>18629.88</v>
      </c>
    </row>
    <row r="137" spans="1:4" x14ac:dyDescent="0.55000000000000004">
      <c r="A137" s="172" t="s">
        <v>214</v>
      </c>
      <c r="B137" s="173">
        <v>22230.17</v>
      </c>
      <c r="C137" s="173">
        <v>20739.73</v>
      </c>
      <c r="D137" s="173">
        <v>19280.61</v>
      </c>
    </row>
    <row r="138" spans="1:4" x14ac:dyDescent="0.55000000000000004">
      <c r="A138" s="172" t="s">
        <v>215</v>
      </c>
      <c r="B138" s="173">
        <v>501.25</v>
      </c>
      <c r="C138" s="173">
        <v>408</v>
      </c>
      <c r="D138" s="173">
        <v>314.75</v>
      </c>
    </row>
    <row r="139" spans="1:4" x14ac:dyDescent="0.55000000000000004">
      <c r="A139" s="172" t="s">
        <v>216</v>
      </c>
      <c r="B139" s="173">
        <v>0.49</v>
      </c>
      <c r="C139" s="173">
        <v>0.43</v>
      </c>
      <c r="D139" s="173">
        <v>0.37</v>
      </c>
    </row>
    <row r="140" spans="1:4" x14ac:dyDescent="0.55000000000000004">
      <c r="A140" s="172" t="s">
        <v>217</v>
      </c>
      <c r="B140" s="173">
        <v>115.16</v>
      </c>
      <c r="C140" s="173">
        <v>105</v>
      </c>
      <c r="D140" s="173">
        <v>94.04</v>
      </c>
    </row>
    <row r="141" spans="1:4" x14ac:dyDescent="0.55000000000000004">
      <c r="A141" s="172" t="s">
        <v>218</v>
      </c>
      <c r="B141" s="173">
        <v>616.9</v>
      </c>
      <c r="C141" s="173">
        <v>513.42999999999995</v>
      </c>
      <c r="D141" s="173">
        <v>409.16</v>
      </c>
    </row>
    <row r="142" spans="1:4" x14ac:dyDescent="0.55000000000000004">
      <c r="A142" s="172" t="s">
        <v>219</v>
      </c>
      <c r="B142" s="173">
        <v>191.45</v>
      </c>
      <c r="C142" s="173">
        <v>170</v>
      </c>
      <c r="D142" s="173">
        <v>148.99</v>
      </c>
    </row>
    <row r="143" spans="1:4" x14ac:dyDescent="0.55000000000000004">
      <c r="A143" s="172" t="s">
        <v>220</v>
      </c>
      <c r="B143" s="173">
        <v>255.94</v>
      </c>
      <c r="C143" s="173">
        <v>269</v>
      </c>
      <c r="D143" s="173">
        <v>207.88</v>
      </c>
    </row>
    <row r="144" spans="1:4" x14ac:dyDescent="0.55000000000000004">
      <c r="A144" s="172" t="s">
        <v>221</v>
      </c>
      <c r="B144" s="173">
        <v>748.24</v>
      </c>
      <c r="C144" s="173">
        <v>1011</v>
      </c>
      <c r="D144" s="173">
        <v>744.88</v>
      </c>
    </row>
    <row r="145" spans="1:6" x14ac:dyDescent="0.55000000000000004">
      <c r="A145" s="172" t="s">
        <v>222</v>
      </c>
      <c r="B145" s="173">
        <v>435.23</v>
      </c>
      <c r="C145" s="173">
        <v>406</v>
      </c>
      <c r="D145" s="173">
        <v>377.69</v>
      </c>
    </row>
    <row r="146" spans="1:6" x14ac:dyDescent="0.55000000000000004">
      <c r="A146" s="172" t="s">
        <v>223</v>
      </c>
      <c r="B146" s="173">
        <v>130.33000000000001</v>
      </c>
      <c r="C146" s="173">
        <v>108</v>
      </c>
      <c r="D146" s="173">
        <v>87.1</v>
      </c>
    </row>
    <row r="147" spans="1:6" x14ac:dyDescent="0.55000000000000004">
      <c r="A147" s="172" t="s">
        <v>207</v>
      </c>
      <c r="B147" s="173">
        <v>42.09</v>
      </c>
      <c r="C147" s="173">
        <v>49</v>
      </c>
      <c r="D147" s="173">
        <v>55.47</v>
      </c>
    </row>
    <row r="148" spans="1:6" x14ac:dyDescent="0.55000000000000004">
      <c r="A148" s="172" t="s">
        <v>224</v>
      </c>
      <c r="B148" s="173">
        <v>241.12</v>
      </c>
      <c r="C148" s="173">
        <v>248</v>
      </c>
      <c r="D148" s="173">
        <v>254.34</v>
      </c>
    </row>
    <row r="149" spans="1:6" x14ac:dyDescent="0.55000000000000004">
      <c r="A149" s="172" t="s">
        <v>206</v>
      </c>
      <c r="B149" s="173">
        <v>2044.4</v>
      </c>
      <c r="C149" s="173">
        <v>2261</v>
      </c>
      <c r="D149" s="173">
        <v>1876.35</v>
      </c>
    </row>
    <row r="150" spans="1:6" x14ac:dyDescent="0.55000000000000004">
      <c r="A150" s="172" t="s">
        <v>225</v>
      </c>
      <c r="B150" s="173">
        <v>24891.47</v>
      </c>
      <c r="C150" s="173">
        <v>23514.16</v>
      </c>
      <c r="D150" s="173">
        <v>21566.12</v>
      </c>
    </row>
    <row r="151" spans="1:6" ht="14.4" customHeight="1" x14ac:dyDescent="0.55000000000000004">
      <c r="A151" s="177" t="s">
        <v>380</v>
      </c>
      <c r="B151" s="178"/>
      <c r="C151" s="178"/>
      <c r="D151" s="178"/>
      <c r="E151" s="129"/>
      <c r="F151" s="129"/>
    </row>
    <row r="152" spans="1:6" x14ac:dyDescent="0.55000000000000004">
      <c r="A152" s="128"/>
      <c r="B152" s="129"/>
      <c r="C152" s="129"/>
      <c r="D152" s="129"/>
      <c r="E152" s="129"/>
      <c r="F152" s="129"/>
    </row>
    <row r="153" spans="1:6" x14ac:dyDescent="0.55000000000000004">
      <c r="A153" s="100" t="s">
        <v>267</v>
      </c>
      <c r="B153" s="100" t="s">
        <v>268</v>
      </c>
      <c r="C153" s="100" t="s">
        <v>269</v>
      </c>
      <c r="D153" s="100" t="s">
        <v>270</v>
      </c>
      <c r="E153" s="129"/>
    </row>
    <row r="154" spans="1:6" ht="28.8" x14ac:dyDescent="0.55000000000000004">
      <c r="A154" s="172" t="s">
        <v>292</v>
      </c>
      <c r="B154" s="172" t="s">
        <v>304</v>
      </c>
      <c r="C154" s="172" t="s">
        <v>304</v>
      </c>
      <c r="D154" s="172" t="s">
        <v>293</v>
      </c>
      <c r="E154" s="129"/>
    </row>
    <row r="155" spans="1:6" ht="28.8" x14ac:dyDescent="0.55000000000000004">
      <c r="A155" s="172" t="s">
        <v>294</v>
      </c>
      <c r="B155" s="172" t="s">
        <v>295</v>
      </c>
      <c r="C155" s="172" t="s">
        <v>296</v>
      </c>
      <c r="D155" s="172" t="s">
        <v>297</v>
      </c>
      <c r="E155" s="129"/>
    </row>
    <row r="156" spans="1:6" ht="28.8" x14ac:dyDescent="0.55000000000000004">
      <c r="A156" s="172" t="s">
        <v>298</v>
      </c>
      <c r="B156" s="172" t="s">
        <v>299</v>
      </c>
      <c r="C156" s="172" t="s">
        <v>300</v>
      </c>
      <c r="D156" s="172" t="s">
        <v>301</v>
      </c>
      <c r="E156" s="129"/>
    </row>
    <row r="157" spans="1:6" ht="28.8" x14ac:dyDescent="0.55000000000000004">
      <c r="A157" s="172" t="s">
        <v>302</v>
      </c>
      <c r="B157" s="172">
        <f>B56/B69</f>
        <v>2.8895739910313898</v>
      </c>
      <c r="C157" s="172"/>
      <c r="D157" s="172" t="s">
        <v>303</v>
      </c>
      <c r="E157" s="129"/>
    </row>
    <row r="158" spans="1:6" x14ac:dyDescent="0.55000000000000004">
      <c r="A158" s="128"/>
      <c r="B158" s="129"/>
      <c r="C158" s="129"/>
      <c r="D158" s="129"/>
      <c r="E158" s="129"/>
    </row>
    <row r="159" spans="1:6" x14ac:dyDescent="0.55000000000000004">
      <c r="A159" s="47"/>
      <c r="B159" s="48"/>
      <c r="C159" s="48"/>
      <c r="D159" s="48"/>
      <c r="E159" s="129"/>
      <c r="F159" s="129"/>
    </row>
    <row r="160" spans="1:6" x14ac:dyDescent="0.55000000000000004">
      <c r="A160" s="47"/>
      <c r="B160" s="48"/>
      <c r="C160" s="48"/>
      <c r="D160" s="48"/>
    </row>
    <row r="161" spans="1:4" x14ac:dyDescent="0.55000000000000004">
      <c r="A161" s="47"/>
      <c r="B161" s="48"/>
      <c r="C161" s="48"/>
      <c r="D161" s="48"/>
    </row>
    <row r="162" spans="1:4" x14ac:dyDescent="0.55000000000000004">
      <c r="A162" s="47"/>
      <c r="B162" s="48"/>
      <c r="C162" s="48"/>
      <c r="D162" s="48"/>
    </row>
    <row r="163" spans="1:4" x14ac:dyDescent="0.55000000000000004">
      <c r="A163" s="47"/>
      <c r="B163" s="48"/>
      <c r="C163" s="48"/>
      <c r="D163" s="48"/>
    </row>
    <row r="164" spans="1:4" x14ac:dyDescent="0.55000000000000004">
      <c r="A164" s="47"/>
      <c r="B164" s="48"/>
      <c r="C164" s="48"/>
      <c r="D164" s="48"/>
    </row>
    <row r="165" spans="1:4" x14ac:dyDescent="0.55000000000000004">
      <c r="A165" s="47"/>
      <c r="B165" s="48"/>
      <c r="C165" s="48"/>
      <c r="D165" s="48"/>
    </row>
    <row r="166" spans="1:4" x14ac:dyDescent="0.55000000000000004">
      <c r="A166" s="47"/>
      <c r="B166" s="48"/>
      <c r="C166" s="48"/>
      <c r="D166" s="48"/>
    </row>
    <row r="167" spans="1:4" x14ac:dyDescent="0.55000000000000004">
      <c r="A167" s="47"/>
      <c r="B167" s="48"/>
      <c r="C167" s="48"/>
      <c r="D167" s="48"/>
    </row>
    <row r="168" spans="1:4" x14ac:dyDescent="0.55000000000000004">
      <c r="A168" s="47"/>
      <c r="B168" s="48"/>
      <c r="C168" s="48"/>
      <c r="D168" s="48"/>
    </row>
    <row r="169" spans="1:4" x14ac:dyDescent="0.55000000000000004">
      <c r="A169" s="47"/>
      <c r="B169" s="48"/>
      <c r="C169" s="48"/>
      <c r="D169" s="48"/>
    </row>
    <row r="170" spans="1:4" x14ac:dyDescent="0.55000000000000004">
      <c r="A170" s="47"/>
      <c r="B170" s="48"/>
      <c r="C170" s="48"/>
      <c r="D170" s="48"/>
    </row>
    <row r="171" spans="1:4" x14ac:dyDescent="0.55000000000000004">
      <c r="A171" s="47"/>
      <c r="B171" s="48"/>
      <c r="C171" s="48"/>
      <c r="D171" s="48"/>
    </row>
    <row r="172" spans="1:4" x14ac:dyDescent="0.55000000000000004">
      <c r="A172" s="47"/>
      <c r="B172" s="48"/>
      <c r="C172" s="48"/>
      <c r="D172" s="48"/>
    </row>
    <row r="173" spans="1:4" x14ac:dyDescent="0.55000000000000004">
      <c r="A173" s="47"/>
      <c r="B173" s="48"/>
      <c r="C173" s="48"/>
      <c r="D173" s="48"/>
    </row>
    <row r="174" spans="1:4" x14ac:dyDescent="0.55000000000000004">
      <c r="A174" s="47"/>
      <c r="B174" s="48"/>
      <c r="C174" s="48"/>
      <c r="D174" s="48"/>
    </row>
    <row r="176" spans="1:4" x14ac:dyDescent="0.55000000000000004">
      <c r="A176" s="171" t="s">
        <v>73</v>
      </c>
    </row>
    <row r="178" spans="1:4" ht="15.6" x14ac:dyDescent="0.6">
      <c r="A178" s="187" t="s">
        <v>48</v>
      </c>
      <c r="B178" s="187"/>
      <c r="C178" s="35"/>
      <c r="D178" s="35"/>
    </row>
    <row r="179" spans="1:4" s="35" customFormat="1" x14ac:dyDescent="0.55000000000000004">
      <c r="A179" s="33"/>
      <c r="B179" s="34"/>
      <c r="C179" s="34"/>
      <c r="D179" s="34"/>
    </row>
    <row r="180" spans="1:4" x14ac:dyDescent="0.55000000000000004">
      <c r="A180" s="49" t="s">
        <v>91</v>
      </c>
    </row>
    <row r="182" spans="1:4" x14ac:dyDescent="0.55000000000000004">
      <c r="A182" s="33" t="s">
        <v>90</v>
      </c>
    </row>
    <row r="183" spans="1:4" ht="14.7" thickBot="1" x14ac:dyDescent="0.6"/>
    <row r="184" spans="1:4" ht="43.2" customHeight="1" thickBot="1" x14ac:dyDescent="0.6">
      <c r="A184" s="195" t="s">
        <v>312</v>
      </c>
      <c r="B184" s="194"/>
      <c r="C184" s="193" t="s">
        <v>306</v>
      </c>
      <c r="D184" s="194"/>
    </row>
    <row r="185" spans="1:4" x14ac:dyDescent="0.55000000000000004">
      <c r="A185" s="137" t="s">
        <v>305</v>
      </c>
      <c r="B185" s="138"/>
      <c r="D185" s="138"/>
    </row>
    <row r="186" spans="1:4" x14ac:dyDescent="0.55000000000000004">
      <c r="A186" s="143"/>
      <c r="B186" s="138"/>
      <c r="C186" s="34" t="s">
        <v>313</v>
      </c>
      <c r="D186" s="147">
        <v>501.25</v>
      </c>
    </row>
    <row r="187" spans="1:4" ht="14.7" thickBot="1" x14ac:dyDescent="0.6">
      <c r="A187" s="143" t="s">
        <v>307</v>
      </c>
      <c r="B187" s="138"/>
      <c r="C187" s="34" t="s">
        <v>315</v>
      </c>
      <c r="D187" s="147">
        <v>191.45</v>
      </c>
    </row>
    <row r="188" spans="1:4" x14ac:dyDescent="0.55000000000000004">
      <c r="A188" s="135" t="s">
        <v>311</v>
      </c>
      <c r="B188" s="136">
        <v>6.5199999999999994E-2</v>
      </c>
      <c r="C188" s="34" t="s">
        <v>314</v>
      </c>
      <c r="D188" s="148">
        <f>SUM(D186:D187)</f>
        <v>692.7</v>
      </c>
    </row>
    <row r="189" spans="1:4" x14ac:dyDescent="0.55000000000000004">
      <c r="A189" s="137" t="s">
        <v>310</v>
      </c>
      <c r="B189" s="138">
        <v>0.7</v>
      </c>
      <c r="D189" s="148">
        <v>692700000</v>
      </c>
    </row>
    <row r="190" spans="1:4" ht="14.7" thickBot="1" x14ac:dyDescent="0.6">
      <c r="A190" s="139" t="s">
        <v>308</v>
      </c>
      <c r="B190" s="140">
        <v>7.2599999999999998E-2</v>
      </c>
      <c r="D190" s="138"/>
    </row>
    <row r="191" spans="1:4" x14ac:dyDescent="0.55000000000000004">
      <c r="A191" s="137"/>
      <c r="B191" s="138"/>
      <c r="C191" s="34" t="s">
        <v>317</v>
      </c>
      <c r="D191" s="138">
        <v>3995</v>
      </c>
    </row>
    <row r="192" spans="1:4" ht="28.8" x14ac:dyDescent="0.55000000000000004">
      <c r="A192" s="144" t="s">
        <v>309</v>
      </c>
      <c r="B192" s="138"/>
      <c r="C192" s="34" t="s">
        <v>318</v>
      </c>
      <c r="D192" s="149">
        <v>650730000</v>
      </c>
    </row>
    <row r="193" spans="1:4" x14ac:dyDescent="0.55000000000000004">
      <c r="A193" s="145">
        <f>B188+(B189*B190)</f>
        <v>0.11601999999999998</v>
      </c>
      <c r="B193" s="138"/>
      <c r="C193" s="34" t="s">
        <v>316</v>
      </c>
      <c r="D193" s="138">
        <f>D191*D192</f>
        <v>2599666350000</v>
      </c>
    </row>
    <row r="194" spans="1:4" x14ac:dyDescent="0.55000000000000004">
      <c r="A194" s="137"/>
      <c r="B194" s="138"/>
      <c r="C194" s="142" t="s">
        <v>324</v>
      </c>
      <c r="D194" s="150">
        <f>D193/(D193+D189)</f>
        <v>0.99973361370999902</v>
      </c>
    </row>
    <row r="195" spans="1:4" x14ac:dyDescent="0.55000000000000004">
      <c r="A195" s="137"/>
      <c r="B195" s="138"/>
      <c r="C195" s="142" t="s">
        <v>325</v>
      </c>
      <c r="D195" s="150">
        <f>D189/(D189+D193)</f>
        <v>2.6638629000099042E-4</v>
      </c>
    </row>
    <row r="196" spans="1:4" x14ac:dyDescent="0.55000000000000004">
      <c r="A196" s="137"/>
      <c r="B196" s="138"/>
      <c r="D196" s="138"/>
    </row>
    <row r="197" spans="1:4" x14ac:dyDescent="0.55000000000000004">
      <c r="A197" s="137"/>
      <c r="B197" s="138"/>
      <c r="C197" s="34" t="s">
        <v>319</v>
      </c>
      <c r="D197" s="151">
        <v>8.5000000000000006E-2</v>
      </c>
    </row>
    <row r="198" spans="1:4" x14ac:dyDescent="0.55000000000000004">
      <c r="A198" s="137"/>
      <c r="B198" s="138"/>
      <c r="C198" s="34" t="s">
        <v>320</v>
      </c>
      <c r="D198" s="152">
        <v>0.25</v>
      </c>
    </row>
    <row r="199" spans="1:4" x14ac:dyDescent="0.55000000000000004">
      <c r="A199" s="137"/>
      <c r="B199" s="138"/>
      <c r="C199" s="153" t="s">
        <v>323</v>
      </c>
      <c r="D199" s="154">
        <f>D197*(1-D198)</f>
        <v>6.3750000000000001E-2</v>
      </c>
    </row>
    <row r="200" spans="1:4" x14ac:dyDescent="0.55000000000000004">
      <c r="A200" s="137"/>
      <c r="B200" s="138"/>
      <c r="C200" s="153" t="s">
        <v>322</v>
      </c>
      <c r="D200" s="155">
        <v>0.11600000000000001</v>
      </c>
    </row>
    <row r="201" spans="1:4" x14ac:dyDescent="0.55000000000000004">
      <c r="A201" s="137"/>
      <c r="B201" s="138"/>
      <c r="D201" s="138"/>
    </row>
    <row r="202" spans="1:4" x14ac:dyDescent="0.55000000000000004">
      <c r="A202" s="137"/>
      <c r="B202" s="138"/>
      <c r="D202" s="138"/>
    </row>
    <row r="203" spans="1:4" x14ac:dyDescent="0.55000000000000004">
      <c r="A203" s="137"/>
      <c r="B203" s="138"/>
      <c r="C203" s="153" t="s">
        <v>321</v>
      </c>
      <c r="D203" s="138"/>
    </row>
    <row r="204" spans="1:4" x14ac:dyDescent="0.55000000000000004">
      <c r="A204" s="137"/>
      <c r="B204" s="138"/>
      <c r="C204" s="156">
        <f>(D194*D200)+(D195*D199)</f>
        <v>0.11598608131634745</v>
      </c>
      <c r="D204" s="138"/>
    </row>
    <row r="205" spans="1:4" x14ac:dyDescent="0.55000000000000004">
      <c r="A205" s="137"/>
      <c r="B205" s="138"/>
      <c r="D205" s="138"/>
    </row>
    <row r="206" spans="1:4" ht="14.7" thickBot="1" x14ac:dyDescent="0.6">
      <c r="A206" s="139"/>
      <c r="B206" s="146"/>
      <c r="C206" s="157"/>
      <c r="D206" s="146"/>
    </row>
    <row r="207" spans="1:4" x14ac:dyDescent="0.55000000000000004">
      <c r="A207" s="47"/>
    </row>
    <row r="216" spans="1:4" x14ac:dyDescent="0.55000000000000004">
      <c r="A216" s="171" t="s">
        <v>73</v>
      </c>
    </row>
    <row r="218" spans="1:4" ht="15.6" x14ac:dyDescent="0.6">
      <c r="A218" s="187" t="s">
        <v>49</v>
      </c>
      <c r="B218" s="187"/>
      <c r="C218" s="35"/>
      <c r="D218" s="35"/>
    </row>
    <row r="219" spans="1:4" s="35" customFormat="1" x14ac:dyDescent="0.55000000000000004">
      <c r="A219" s="33"/>
      <c r="B219" s="34"/>
      <c r="C219" s="34"/>
      <c r="D219" s="34"/>
    </row>
    <row r="220" spans="1:4" x14ac:dyDescent="0.55000000000000004">
      <c r="A220" s="33" t="s">
        <v>92</v>
      </c>
    </row>
    <row r="221" spans="1:4" x14ac:dyDescent="0.55000000000000004">
      <c r="B221" s="33"/>
    </row>
    <row r="222" spans="1:4" x14ac:dyDescent="0.55000000000000004">
      <c r="A222" s="158" t="s">
        <v>326</v>
      </c>
      <c r="B222" s="159"/>
    </row>
    <row r="223" spans="1:4" x14ac:dyDescent="0.55000000000000004">
      <c r="A223" s="34"/>
    </row>
    <row r="224" spans="1:4" x14ac:dyDescent="0.55000000000000004">
      <c r="A224" s="34"/>
      <c r="C224" s="132"/>
    </row>
    <row r="225" spans="1:4" x14ac:dyDescent="0.55000000000000004">
      <c r="A225" s="160" t="s">
        <v>327</v>
      </c>
      <c r="B225" s="160" t="s">
        <v>328</v>
      </c>
      <c r="C225" s="160" t="s">
        <v>329</v>
      </c>
      <c r="D225" s="132"/>
    </row>
    <row r="226" spans="1:4" x14ac:dyDescent="0.55000000000000004">
      <c r="A226" s="133" t="s">
        <v>330</v>
      </c>
      <c r="B226" s="133">
        <v>3883.17</v>
      </c>
      <c r="C226" s="162">
        <v>3611.38</v>
      </c>
    </row>
    <row r="227" spans="1:4" x14ac:dyDescent="0.55000000000000004">
      <c r="A227" s="133" t="s">
        <v>331</v>
      </c>
      <c r="B227" s="133">
        <v>57.75</v>
      </c>
      <c r="C227" s="162">
        <v>44.27</v>
      </c>
    </row>
    <row r="228" spans="1:4" x14ac:dyDescent="0.55000000000000004">
      <c r="A228" s="133" t="s">
        <v>332</v>
      </c>
      <c r="B228" s="133">
        <v>3940.92</v>
      </c>
      <c r="C228" s="162">
        <v>3655.65</v>
      </c>
    </row>
    <row r="229" spans="1:4" x14ac:dyDescent="0.55000000000000004">
      <c r="A229" s="133" t="s">
        <v>333</v>
      </c>
      <c r="B229" s="133">
        <v>0.25</v>
      </c>
      <c r="C229" s="162">
        <v>0.25</v>
      </c>
    </row>
    <row r="230" spans="1:4" x14ac:dyDescent="0.55000000000000004">
      <c r="A230" s="133" t="s">
        <v>334</v>
      </c>
      <c r="B230" s="133">
        <v>2955.69</v>
      </c>
      <c r="C230" s="162">
        <v>2741.74</v>
      </c>
    </row>
    <row r="231" spans="1:4" x14ac:dyDescent="0.55000000000000004">
      <c r="A231" s="133" t="s">
        <v>335</v>
      </c>
      <c r="B231" s="133">
        <v>775.82</v>
      </c>
      <c r="C231" s="162">
        <v>632.79</v>
      </c>
    </row>
    <row r="232" spans="1:4" x14ac:dyDescent="0.55000000000000004">
      <c r="A232" s="133" t="s">
        <v>336</v>
      </c>
      <c r="B232" s="133">
        <v>3350.33</v>
      </c>
      <c r="C232" s="162">
        <v>2687.01</v>
      </c>
    </row>
    <row r="233" spans="1:4" x14ac:dyDescent="0.55000000000000004">
      <c r="A233" s="133" t="s">
        <v>337</v>
      </c>
      <c r="B233" s="133">
        <v>4180.04</v>
      </c>
      <c r="C233" s="162">
        <v>4222.8900000000003</v>
      </c>
    </row>
    <row r="234" spans="1:4" x14ac:dyDescent="0.55000000000000004">
      <c r="A234" s="133" t="s">
        <v>338</v>
      </c>
      <c r="B234" s="133">
        <v>-42.85</v>
      </c>
      <c r="C234" s="162">
        <v>241.51</v>
      </c>
    </row>
    <row r="235" spans="1:4" x14ac:dyDescent="0.55000000000000004">
      <c r="A235" s="141" t="s">
        <v>339</v>
      </c>
      <c r="B235" s="163">
        <f>B230+B231-B232-B234</f>
        <v>424.03000000000031</v>
      </c>
      <c r="C235" s="163">
        <f>C230+C231-C232-C234</f>
        <v>446.00999999999954</v>
      </c>
    </row>
    <row r="238" spans="1:4" x14ac:dyDescent="0.55000000000000004">
      <c r="A238" s="33" t="s">
        <v>340</v>
      </c>
    </row>
    <row r="239" spans="1:4" x14ac:dyDescent="0.55000000000000004">
      <c r="A239" s="47" t="s">
        <v>341</v>
      </c>
    </row>
    <row r="240" spans="1:4" x14ac:dyDescent="0.55000000000000004">
      <c r="A240" s="11" t="s">
        <v>342</v>
      </c>
      <c r="B240" s="161">
        <v>0.12</v>
      </c>
    </row>
    <row r="241" spans="1:4" x14ac:dyDescent="0.55000000000000004">
      <c r="A241" s="11" t="s">
        <v>343</v>
      </c>
      <c r="B241" s="161">
        <v>0.05</v>
      </c>
    </row>
    <row r="242" spans="1:4" x14ac:dyDescent="0.55000000000000004">
      <c r="A242" s="11" t="s">
        <v>48</v>
      </c>
      <c r="B242" s="134">
        <v>0.11600000000000001</v>
      </c>
    </row>
    <row r="244" spans="1:4" ht="28.8" x14ac:dyDescent="0.55000000000000004">
      <c r="A244" s="164" t="s">
        <v>344</v>
      </c>
      <c r="B244" s="164" t="s">
        <v>345</v>
      </c>
      <c r="C244" s="164" t="s">
        <v>346</v>
      </c>
      <c r="D244" s="164" t="s">
        <v>347</v>
      </c>
    </row>
    <row r="245" spans="1:4" x14ac:dyDescent="0.55000000000000004">
      <c r="A245" s="11">
        <v>1</v>
      </c>
      <c r="B245" s="11">
        <v>475</v>
      </c>
      <c r="C245" s="11">
        <f>1/((1+B242)^A245)</f>
        <v>0.8960573476702508</v>
      </c>
      <c r="D245" s="11">
        <v>425.7</v>
      </c>
    </row>
    <row r="246" spans="1:4" x14ac:dyDescent="0.55000000000000004">
      <c r="A246" s="11">
        <v>2</v>
      </c>
      <c r="B246" s="11">
        <v>532</v>
      </c>
      <c r="C246" s="165">
        <v>0.80300000000000005</v>
      </c>
      <c r="D246" s="11">
        <v>427.3</v>
      </c>
    </row>
    <row r="247" spans="1:4" x14ac:dyDescent="0.55000000000000004">
      <c r="A247" s="11">
        <v>3</v>
      </c>
      <c r="B247" s="11">
        <v>596</v>
      </c>
      <c r="C247" s="11">
        <v>0.72</v>
      </c>
      <c r="D247" s="11">
        <v>429.1</v>
      </c>
    </row>
    <row r="248" spans="1:4" x14ac:dyDescent="0.55000000000000004">
      <c r="A248" s="47"/>
      <c r="B248" s="47"/>
      <c r="C248" s="47"/>
      <c r="D248" s="47"/>
    </row>
    <row r="249" spans="1:4" x14ac:dyDescent="0.55000000000000004">
      <c r="A249" s="47"/>
      <c r="B249" s="47"/>
      <c r="C249" s="47"/>
      <c r="D249" s="47"/>
    </row>
    <row r="250" spans="1:4" x14ac:dyDescent="0.55000000000000004">
      <c r="A250" s="47"/>
      <c r="B250" s="47"/>
      <c r="C250" s="47"/>
      <c r="D250" s="47"/>
    </row>
    <row r="251" spans="1:4" x14ac:dyDescent="0.55000000000000004">
      <c r="A251" s="164" t="s">
        <v>348</v>
      </c>
      <c r="B251" s="164" t="s">
        <v>349</v>
      </c>
      <c r="C251" s="164" t="s">
        <v>350</v>
      </c>
      <c r="D251" s="47"/>
    </row>
    <row r="252" spans="1:4" x14ac:dyDescent="0.55000000000000004">
      <c r="A252" s="11" t="s">
        <v>351</v>
      </c>
      <c r="B252" s="11" t="s">
        <v>352</v>
      </c>
      <c r="C252" s="166">
        <v>595.73</v>
      </c>
      <c r="D252" s="47"/>
    </row>
    <row r="253" spans="1:4" x14ac:dyDescent="0.55000000000000004">
      <c r="A253" s="11" t="s">
        <v>353</v>
      </c>
      <c r="B253" s="11" t="s">
        <v>354</v>
      </c>
      <c r="C253" s="166">
        <v>0.05</v>
      </c>
      <c r="D253" s="47"/>
    </row>
    <row r="254" spans="1:4" x14ac:dyDescent="0.55000000000000004">
      <c r="A254" s="11" t="s">
        <v>48</v>
      </c>
      <c r="B254" s="11" t="s">
        <v>355</v>
      </c>
      <c r="C254" s="166">
        <v>0.11600000000000001</v>
      </c>
      <c r="D254" s="47"/>
    </row>
    <row r="255" spans="1:4" x14ac:dyDescent="0.55000000000000004">
      <c r="A255" s="11" t="s">
        <v>356</v>
      </c>
      <c r="B255" s="11" t="s">
        <v>357</v>
      </c>
      <c r="C255" s="166">
        <v>6.6000000000000003E-2</v>
      </c>
      <c r="D255" s="47"/>
    </row>
    <row r="256" spans="1:4" x14ac:dyDescent="0.55000000000000004">
      <c r="A256" s="11" t="s">
        <v>358</v>
      </c>
      <c r="B256" s="11" t="s">
        <v>359</v>
      </c>
      <c r="C256" s="166">
        <v>9479</v>
      </c>
      <c r="D256" s="47"/>
    </row>
    <row r="257" spans="1:4" x14ac:dyDescent="0.55000000000000004">
      <c r="A257" s="11" t="s">
        <v>360</v>
      </c>
      <c r="B257" s="11" t="s">
        <v>361</v>
      </c>
      <c r="C257" s="166">
        <v>0.72</v>
      </c>
      <c r="D257" s="47"/>
    </row>
    <row r="258" spans="1:4" x14ac:dyDescent="0.55000000000000004">
      <c r="A258" s="11" t="s">
        <v>362</v>
      </c>
      <c r="B258" s="11" t="s">
        <v>363</v>
      </c>
      <c r="C258" s="166">
        <v>6824.9</v>
      </c>
      <c r="D258" s="47"/>
    </row>
    <row r="259" spans="1:4" ht="28.8" x14ac:dyDescent="0.55000000000000004">
      <c r="A259" s="11" t="s">
        <v>364</v>
      </c>
      <c r="B259" s="11" t="s">
        <v>365</v>
      </c>
      <c r="C259" s="166">
        <v>425.7</v>
      </c>
      <c r="D259" s="47"/>
    </row>
    <row r="260" spans="1:4" ht="28.8" x14ac:dyDescent="0.55000000000000004">
      <c r="A260" s="11" t="s">
        <v>366</v>
      </c>
      <c r="B260" s="11" t="s">
        <v>367</v>
      </c>
      <c r="C260" s="166">
        <v>427.3</v>
      </c>
      <c r="D260" s="47"/>
    </row>
    <row r="261" spans="1:4" x14ac:dyDescent="0.55000000000000004">
      <c r="A261" s="11" t="s">
        <v>368</v>
      </c>
      <c r="B261" s="11" t="s">
        <v>369</v>
      </c>
      <c r="C261" s="166">
        <v>429.1</v>
      </c>
      <c r="D261" s="47"/>
    </row>
    <row r="262" spans="1:4" x14ac:dyDescent="0.55000000000000004">
      <c r="A262" s="11" t="s">
        <v>370</v>
      </c>
      <c r="B262" s="11" t="s">
        <v>371</v>
      </c>
      <c r="C262" s="166">
        <v>8107</v>
      </c>
      <c r="D262" s="47"/>
    </row>
    <row r="263" spans="1:4" x14ac:dyDescent="0.55000000000000004">
      <c r="A263" s="11" t="s">
        <v>372</v>
      </c>
      <c r="B263" s="11" t="s">
        <v>373</v>
      </c>
      <c r="C263" s="166">
        <v>692.7</v>
      </c>
      <c r="D263" s="47"/>
    </row>
    <row r="264" spans="1:4" x14ac:dyDescent="0.55000000000000004">
      <c r="A264" s="11" t="s">
        <v>374</v>
      </c>
      <c r="B264" s="11" t="s">
        <v>375</v>
      </c>
      <c r="C264" s="166">
        <v>7414.3</v>
      </c>
      <c r="D264" s="47"/>
    </row>
    <row r="265" spans="1:4" x14ac:dyDescent="0.55000000000000004">
      <c r="A265" s="11" t="s">
        <v>376</v>
      </c>
      <c r="B265" s="11" t="s">
        <v>377</v>
      </c>
      <c r="C265" s="166">
        <v>650.70000000000005</v>
      </c>
      <c r="D265" s="47"/>
    </row>
    <row r="266" spans="1:4" x14ac:dyDescent="0.55000000000000004">
      <c r="A266" s="167" t="s">
        <v>378</v>
      </c>
      <c r="B266" s="167" t="s">
        <v>379</v>
      </c>
      <c r="C266" s="168">
        <v>1140</v>
      </c>
      <c r="D266" s="47"/>
    </row>
    <row r="267" spans="1:4" x14ac:dyDescent="0.55000000000000004">
      <c r="A267" s="47"/>
      <c r="B267" s="47"/>
      <c r="C267" s="47"/>
      <c r="D267" s="47"/>
    </row>
    <row r="268" spans="1:4" x14ac:dyDescent="0.55000000000000004">
      <c r="A268" s="47"/>
      <c r="B268" s="47"/>
      <c r="C268" s="47"/>
      <c r="D268" s="47"/>
    </row>
    <row r="269" spans="1:4" x14ac:dyDescent="0.55000000000000004">
      <c r="A269" s="47"/>
      <c r="B269" s="47"/>
      <c r="C269" s="47"/>
      <c r="D269" s="47"/>
    </row>
    <row r="270" spans="1:4" x14ac:dyDescent="0.55000000000000004">
      <c r="A270" s="47"/>
      <c r="B270" s="47"/>
      <c r="C270" s="47"/>
      <c r="D270" s="47"/>
    </row>
    <row r="271" spans="1:4" x14ac:dyDescent="0.55000000000000004">
      <c r="A271" s="47"/>
      <c r="B271" s="47"/>
      <c r="C271" s="47"/>
      <c r="D271" s="47"/>
    </row>
    <row r="272" spans="1:4" x14ac:dyDescent="0.55000000000000004">
      <c r="A272" s="47"/>
      <c r="B272" s="47"/>
      <c r="C272" s="47"/>
      <c r="D272" s="47"/>
    </row>
    <row r="273" spans="1:4" x14ac:dyDescent="0.55000000000000004">
      <c r="A273" s="47"/>
      <c r="B273" s="47"/>
      <c r="C273" s="47"/>
      <c r="D273" s="47"/>
    </row>
    <row r="274" spans="1:4" x14ac:dyDescent="0.55000000000000004">
      <c r="A274" s="47"/>
      <c r="B274" s="47"/>
      <c r="C274" s="47"/>
      <c r="D274" s="47"/>
    </row>
    <row r="275" spans="1:4" x14ac:dyDescent="0.55000000000000004">
      <c r="A275" s="47"/>
      <c r="B275" s="47"/>
      <c r="C275" s="47"/>
      <c r="D275" s="47"/>
    </row>
    <row r="276" spans="1:4" x14ac:dyDescent="0.55000000000000004">
      <c r="A276" s="47"/>
      <c r="B276" s="47"/>
      <c r="C276" s="47"/>
      <c r="D276" s="47"/>
    </row>
    <row r="277" spans="1:4" x14ac:dyDescent="0.55000000000000004">
      <c r="A277" s="47"/>
      <c r="B277" s="47"/>
      <c r="C277" s="47"/>
      <c r="D277" s="47"/>
    </row>
    <row r="278" spans="1:4" x14ac:dyDescent="0.55000000000000004">
      <c r="A278" s="47"/>
      <c r="B278" s="47"/>
      <c r="C278" s="47"/>
      <c r="D278" s="47"/>
    </row>
    <row r="279" spans="1:4" x14ac:dyDescent="0.55000000000000004">
      <c r="A279" s="47"/>
      <c r="B279" s="47"/>
      <c r="C279" s="47"/>
    </row>
    <row r="280" spans="1:4" x14ac:dyDescent="0.55000000000000004">
      <c r="A280" s="47"/>
      <c r="B280" s="47"/>
      <c r="C280" s="47"/>
    </row>
    <row r="281" spans="1:4" x14ac:dyDescent="0.55000000000000004">
      <c r="A281" s="47"/>
      <c r="B281" s="47"/>
      <c r="C281" s="47"/>
    </row>
    <row r="282" spans="1:4" x14ac:dyDescent="0.55000000000000004">
      <c r="A282" s="47"/>
      <c r="B282" s="47"/>
      <c r="C282" s="47"/>
    </row>
    <row r="283" spans="1:4" x14ac:dyDescent="0.55000000000000004">
      <c r="A283" s="34"/>
    </row>
    <row r="284" spans="1:4" x14ac:dyDescent="0.55000000000000004">
      <c r="A284" s="34"/>
    </row>
    <row r="285" spans="1:4" x14ac:dyDescent="0.55000000000000004">
      <c r="A285" s="34"/>
    </row>
    <row r="286" spans="1:4" x14ac:dyDescent="0.55000000000000004">
      <c r="A286" s="34"/>
    </row>
    <row r="287" spans="1:4" x14ac:dyDescent="0.55000000000000004">
      <c r="A287" s="34"/>
    </row>
  </sheetData>
  <mergeCells count="8">
    <mergeCell ref="A218:B218"/>
    <mergeCell ref="A1:C1"/>
    <mergeCell ref="A3:B3"/>
    <mergeCell ref="A130:B130"/>
    <mergeCell ref="A178:B178"/>
    <mergeCell ref="A41:B41"/>
    <mergeCell ref="C184:D184"/>
    <mergeCell ref="A184:B184"/>
  </mergeCells>
  <hyperlinks>
    <hyperlink ref="A39" location="'All References'!A30" display="Check References" xr:uid="{BFC43E3A-C3A6-48A1-AE9F-D2C0A46679CF}"/>
    <hyperlink ref="A176" location="'All References'!A36" display="Check References" xr:uid="{CA612F9A-D440-4894-A38F-148E4B33485C}"/>
    <hyperlink ref="A216" location="'All References'!A39" display="Check References" xr:uid="{3D0CC8B6-E29A-48C9-B4F7-F9CFEB1893A1}"/>
    <hyperlink ref="A128" location="'All References'!A33" display="Check References" xr:uid="{3E5FA9B0-4B1D-4802-AB2B-15B1A4B74F55}"/>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FBAF-5D96-4C30-A085-E206801672F9}">
  <dimension ref="A1:H62"/>
  <sheetViews>
    <sheetView zoomScale="70" zoomScaleNormal="90" workbookViewId="0">
      <selection sqref="A1:C1"/>
    </sheetView>
  </sheetViews>
  <sheetFormatPr defaultRowHeight="14.4" x14ac:dyDescent="0.55000000000000004"/>
  <cols>
    <col min="1" max="1" width="28.41796875" style="10" bestFit="1" customWidth="1"/>
    <col min="2" max="2" width="45.47265625" bestFit="1" customWidth="1"/>
    <col min="3" max="3" width="10.3671875" customWidth="1"/>
    <col min="5" max="5" width="53.7890625" bestFit="1" customWidth="1"/>
    <col min="6" max="8" width="20" bestFit="1" customWidth="1"/>
    <col min="11" max="11" width="39.83984375" bestFit="1" customWidth="1"/>
  </cols>
  <sheetData>
    <row r="1" spans="1:8" ht="20.399999999999999" x14ac:dyDescent="0.75">
      <c r="A1" s="188" t="s">
        <v>50</v>
      </c>
      <c r="B1" s="188"/>
      <c r="C1" s="188"/>
    </row>
    <row r="2" spans="1:8" ht="20.399999999999999" x14ac:dyDescent="0.75">
      <c r="A2" s="17"/>
      <c r="B2" s="17"/>
      <c r="C2" s="17"/>
    </row>
    <row r="3" spans="1:8" ht="15.9" thickBot="1" x14ac:dyDescent="0.65">
      <c r="A3" s="191" t="s">
        <v>52</v>
      </c>
      <c r="B3" s="191"/>
      <c r="C3" s="15"/>
      <c r="E3" s="42" t="s">
        <v>266</v>
      </c>
      <c r="G3" s="44"/>
      <c r="H3" s="44" t="s">
        <v>199</v>
      </c>
    </row>
    <row r="4" spans="1:8" ht="15.6" x14ac:dyDescent="0.6">
      <c r="A4" s="36"/>
      <c r="B4" s="36"/>
      <c r="C4" s="37"/>
      <c r="E4" s="196" t="s">
        <v>69</v>
      </c>
      <c r="F4" s="198" t="s">
        <v>264</v>
      </c>
      <c r="G4" s="198" t="s">
        <v>263</v>
      </c>
      <c r="H4" s="200" t="s">
        <v>262</v>
      </c>
    </row>
    <row r="5" spans="1:8" ht="15.6" x14ac:dyDescent="0.6">
      <c r="A5" s="182" t="s">
        <v>30</v>
      </c>
      <c r="B5" s="176" t="str">
        <f>HYPERLINK("https://www.dmartindia.com/about-us","D-Mart website")</f>
        <v>D-Mart website</v>
      </c>
      <c r="C5" s="37"/>
      <c r="E5" s="197"/>
      <c r="F5" s="199"/>
      <c r="G5" s="199"/>
      <c r="H5" s="201"/>
    </row>
    <row r="6" spans="1:8" ht="15.6" x14ac:dyDescent="0.6">
      <c r="A6" s="182"/>
      <c r="B6" s="175" t="str">
        <f>HYPERLINK("https://api.dmartindia.com/corporate/content/file/v1/6/vLobSX3O9BXYtJt1WfpFGuYr1752926697/Annual%20Report%202024-25.pdf","Annual Report for the year ended Mar-2025")</f>
        <v>Annual Report for the year ended Mar-2025</v>
      </c>
      <c r="C6" s="37"/>
      <c r="E6" s="65" t="s">
        <v>261</v>
      </c>
      <c r="F6" s="121"/>
      <c r="G6" s="121"/>
      <c r="H6" s="66"/>
    </row>
    <row r="7" spans="1:8" ht="15.6" x14ac:dyDescent="0.6">
      <c r="A7" s="182"/>
      <c r="B7" s="175" t="str">
        <f>HYPERLINK("https://api.dmartindia.com/corporate/content/file/v1/6/KhDFKqO1CnIL85k4TBXcxnhy1721903509/Annual%20Report%202023-24.pdf","Annual Report for the year ended Mar-2024")</f>
        <v>Annual Report for the year ended Mar-2024</v>
      </c>
      <c r="C7" s="37"/>
      <c r="E7" s="65"/>
      <c r="F7" s="122"/>
      <c r="G7" s="122"/>
      <c r="H7" s="67"/>
    </row>
    <row r="8" spans="1:8" ht="15.6" x14ac:dyDescent="0.6">
      <c r="A8" s="182"/>
      <c r="B8" s="175" t="str">
        <f>HYPERLINK("https://api.dmartindia.com/corporate/content/file/v1/6/oYQWKHW0queBCusoOJ5Hp5A81689700719/Annual%20Report%202022-23.pdf","Annual Report for the year ended Mar-2023")</f>
        <v>Annual Report for the year ended Mar-2023</v>
      </c>
      <c r="C8" s="37"/>
      <c r="E8" s="123" t="s">
        <v>85</v>
      </c>
      <c r="F8" s="124"/>
      <c r="G8" s="124"/>
      <c r="H8" s="125"/>
    </row>
    <row r="9" spans="1:8" ht="15.6" x14ac:dyDescent="0.6">
      <c r="A9" s="182" t="s">
        <v>75</v>
      </c>
      <c r="B9" s="176" t="str">
        <f>HYPERLINK("https://api.dmartindia.com/corporate/content/file/v1/5/yDCqSNVMUwK8iH9zvIcjZWr81754655123/Profile%20of%20Directors.pdf","Profiles of Directors")</f>
        <v>Profiles of Directors</v>
      </c>
      <c r="C9" s="37"/>
      <c r="E9" s="68" t="s">
        <v>84</v>
      </c>
      <c r="F9" s="94">
        <v>14349.83</v>
      </c>
      <c r="G9" s="94">
        <v>11759.19</v>
      </c>
      <c r="H9" s="95">
        <v>9725.61</v>
      </c>
    </row>
    <row r="10" spans="1:8" ht="15.6" x14ac:dyDescent="0.6">
      <c r="A10" s="182"/>
      <c r="B10" s="176" t="str">
        <f>HYPERLINK("https://api.dmartindia.com/corporate/content/file/v1/5/wl6ouw2VkV34VqjMeDBF2chT1760504007/Committees%20of%20the%20Board%20of%20Directors.pdf","Board Committees")</f>
        <v>Board Committees</v>
      </c>
      <c r="C10" s="37"/>
      <c r="E10" s="68" t="s">
        <v>260</v>
      </c>
      <c r="F10" s="94">
        <v>1099.3499999999999</v>
      </c>
      <c r="G10" s="94">
        <v>935.22</v>
      </c>
      <c r="H10" s="95">
        <v>829.16</v>
      </c>
    </row>
    <row r="11" spans="1:8" ht="15.6" x14ac:dyDescent="0.6">
      <c r="A11" s="210" t="s">
        <v>35</v>
      </c>
      <c r="B11" s="175" t="str">
        <f>HYPERLINK("https://api.dmartindia.com/corporate/content/file/v1/6/vLobSX3O9BXYtJt1WfpFGuYr1752926697/Annual%20Report%202024-25.pdf#page=126","Auditor's report from the Annual Report")</f>
        <v>Auditor's report from the Annual Report</v>
      </c>
      <c r="C11" s="37"/>
      <c r="E11" s="68" t="s">
        <v>259</v>
      </c>
      <c r="F11" s="94">
        <v>1741.73</v>
      </c>
      <c r="G11" s="94">
        <v>1539.1</v>
      </c>
      <c r="H11" s="95">
        <v>1504.88</v>
      </c>
    </row>
    <row r="12" spans="1:8" ht="15.6" x14ac:dyDescent="0.6">
      <c r="A12" s="211"/>
      <c r="B12" s="175" t="str">
        <f>HYPERLINK("https://api.dmartindia.com/corporate/content/file/v1/6/vLobSX3O9BXYtJt1WfpFGuYr1752926697/Annual%20Report%202024-25.pdf","Annual Report for the year ended Mar-2025")</f>
        <v>Annual Report for the year ended Mar-2025</v>
      </c>
      <c r="C12" s="37"/>
      <c r="E12" s="68" t="s">
        <v>198</v>
      </c>
      <c r="F12" s="94">
        <v>7.65</v>
      </c>
      <c r="G12" s="94">
        <v>8.09</v>
      </c>
      <c r="H12" s="95">
        <v>8.5399999999999991</v>
      </c>
    </row>
    <row r="13" spans="1:8" ht="15.6" x14ac:dyDescent="0.6">
      <c r="A13" s="211"/>
      <c r="B13" s="176" t="str">
        <f>HYPERLINK("https://www.theippress.com/2023/11/19/dolphin-mart-private-limited-vs-avenue-supermarts-limited-and-ors/","Dolphin Mart lawsuit")</f>
        <v>Dolphin Mart lawsuit</v>
      </c>
      <c r="C13" s="37"/>
      <c r="E13" s="68" t="s">
        <v>208</v>
      </c>
      <c r="F13" s="94">
        <v>78.27</v>
      </c>
      <c r="G13" s="94">
        <v>78.27</v>
      </c>
      <c r="H13" s="95">
        <v>78.27</v>
      </c>
    </row>
    <row r="14" spans="1:8" x14ac:dyDescent="0.55000000000000004">
      <c r="A14" s="211"/>
      <c r="B14" s="176" t="str">
        <f>HYPERLINK("https://indiankanoon.org/","For finding other lawsuits")</f>
        <v>For finding other lawsuits</v>
      </c>
      <c r="E14" s="68" t="s">
        <v>258</v>
      </c>
      <c r="F14" s="94">
        <v>28.98</v>
      </c>
      <c r="G14" s="94">
        <v>30.35</v>
      </c>
      <c r="H14" s="95">
        <v>23.18</v>
      </c>
    </row>
    <row r="15" spans="1:8" x14ac:dyDescent="0.55000000000000004">
      <c r="A15" s="8"/>
      <c r="E15" s="69" t="s">
        <v>257</v>
      </c>
      <c r="F15" s="94"/>
      <c r="G15" s="94"/>
      <c r="H15" s="95"/>
    </row>
    <row r="16" spans="1:8" ht="15.6" x14ac:dyDescent="0.6">
      <c r="A16" s="187" t="s">
        <v>51</v>
      </c>
      <c r="B16" s="187"/>
      <c r="C16" s="15"/>
      <c r="E16" s="68" t="s">
        <v>256</v>
      </c>
      <c r="F16" s="94">
        <v>2.0099999999999998</v>
      </c>
      <c r="G16" s="94">
        <v>0.01</v>
      </c>
      <c r="H16" s="95">
        <v>0.01</v>
      </c>
    </row>
    <row r="17" spans="1:8" x14ac:dyDescent="0.55000000000000004">
      <c r="C17" s="64"/>
      <c r="D17" s="64"/>
      <c r="E17" s="68" t="s">
        <v>255</v>
      </c>
      <c r="F17" s="94">
        <v>168.12</v>
      </c>
      <c r="G17" s="94">
        <v>234.76</v>
      </c>
      <c r="H17" s="95">
        <v>108.55</v>
      </c>
    </row>
    <row r="18" spans="1:8" x14ac:dyDescent="0.55000000000000004">
      <c r="A18" s="204" t="s">
        <v>25</v>
      </c>
      <c r="B18" s="174" t="str">
        <f>HYPERLINK("https://www.sebi.gov.in/filings/public-issues/mar-2017/avenue-supermarts-red-herring-prospectus_34310.html","Avenue Supermarts DRHP")</f>
        <v>Avenue Supermarts DRHP</v>
      </c>
      <c r="C18" s="64"/>
      <c r="D18" s="64"/>
      <c r="E18" s="68" t="s">
        <v>254</v>
      </c>
      <c r="F18" s="113">
        <v>18.190000000000001</v>
      </c>
      <c r="G18" s="113">
        <v>17.559999999999999</v>
      </c>
      <c r="H18" s="114">
        <v>17.5</v>
      </c>
    </row>
    <row r="19" spans="1:8" x14ac:dyDescent="0.55000000000000004">
      <c r="A19" s="205"/>
      <c r="B19" s="174" t="str">
        <f>HYPERLINK("https://www.moneycontrol.com/news/business/ipo/bumper-listing-d-mart-operator-avenue-supermarts-shares-debut-at-rs-610-up-104-2243761.html","Avenue Supermarts Listing details")</f>
        <v>Avenue Supermarts Listing details</v>
      </c>
      <c r="C19" s="64"/>
      <c r="D19" s="64"/>
      <c r="E19" s="68" t="s">
        <v>253</v>
      </c>
      <c r="F19" s="94">
        <v>7.51</v>
      </c>
      <c r="G19" s="113">
        <v>4.72</v>
      </c>
      <c r="H19" s="114">
        <v>1.77</v>
      </c>
    </row>
    <row r="20" spans="1:8" x14ac:dyDescent="0.55000000000000004">
      <c r="A20" s="205"/>
      <c r="B20" s="174" t="str">
        <f>HYPERLINK("https://www.forbesindia.com/article/special/dmart-ipo-gets-a-stellar-response%3B-issue-oversubscribed-104.44-times/46279/1","Over-subscription data")</f>
        <v>Over-subscription data</v>
      </c>
      <c r="C20" s="64"/>
      <c r="D20" s="64"/>
      <c r="E20" s="68" t="s">
        <v>252</v>
      </c>
      <c r="F20" s="113">
        <v>426.45</v>
      </c>
      <c r="G20" s="113">
        <v>367.9</v>
      </c>
      <c r="H20" s="114">
        <v>360.43</v>
      </c>
    </row>
    <row r="21" spans="1:8" x14ac:dyDescent="0.55000000000000004">
      <c r="A21" s="205"/>
      <c r="B21" s="174" t="str">
        <f>HYPERLINK("https://api.dmartindia.com/corporate/content/file/v1/4/mZw97ZLcR3EJ8BNL4x9U2pas/Shareholding%20pattern%20as%20on%2031st%20March,%202017.pdf","Shareholding Pattern after the IPO")</f>
        <v>Shareholding Pattern after the IPO</v>
      </c>
      <c r="C21" s="64"/>
      <c r="D21" s="64"/>
      <c r="E21" s="70" t="s">
        <v>251</v>
      </c>
      <c r="F21" s="115">
        <f>SUM(F9:F20)</f>
        <v>17928.089999999997</v>
      </c>
      <c r="G21" s="115">
        <f>SUM(G9:G20)</f>
        <v>14975.17</v>
      </c>
      <c r="H21" s="116">
        <f>SUM(H9:H20)</f>
        <v>12657.900000000003</v>
      </c>
    </row>
    <row r="22" spans="1:8" ht="15.6" x14ac:dyDescent="0.6">
      <c r="A22" s="205"/>
      <c r="B22" s="174" t="str">
        <f>HYPERLINK("https://trendlyne.com/equity/share-holding/53208/DMART/latest/avenue-supermarts-ltd/#:~:text=Promoters%20holding%20remains%20unchanged%20at,DII","Summarised shareholding pattern as of 30th Sept, 2025")</f>
        <v>Summarised shareholding pattern as of 30th Sept, 2025</v>
      </c>
      <c r="C22" s="64"/>
      <c r="D22" s="64"/>
      <c r="E22" s="65" t="s">
        <v>83</v>
      </c>
      <c r="F22" s="107"/>
      <c r="G22" s="107"/>
      <c r="H22" s="106"/>
    </row>
    <row r="23" spans="1:8" x14ac:dyDescent="0.55000000000000004">
      <c r="A23" s="205"/>
      <c r="B23" s="174" t="str">
        <f>HYPERLINK("https://api.dmartindia.com/corporate/content/file/v1/4/F0mhtmtxPHTK1PWyQTn7OJ551761288265/Shareholding%20Pattern%20as%20on%2030th%20September,%202025.pdf","Detailed Shareholding Pattern as of 30th Sept, 2025")</f>
        <v>Detailed Shareholding Pattern as of 30th Sept, 2025</v>
      </c>
      <c r="C23" s="64"/>
      <c r="D23" s="64"/>
      <c r="E23" s="68" t="s">
        <v>82</v>
      </c>
      <c r="F23" s="94">
        <v>5044.37</v>
      </c>
      <c r="G23" s="94">
        <v>3927.31</v>
      </c>
      <c r="H23" s="95">
        <v>3243.48</v>
      </c>
    </row>
    <row r="24" spans="1:8" x14ac:dyDescent="0.55000000000000004">
      <c r="A24" s="205"/>
      <c r="B24" s="174" t="str">
        <f>HYPERLINK("https://jainmatrix.com/2017/03/07/avenue-supermarts-ipo/","Reference 1")</f>
        <v>Reference 1</v>
      </c>
      <c r="C24" s="64"/>
      <c r="D24" s="64"/>
      <c r="E24" s="69" t="s">
        <v>250</v>
      </c>
      <c r="F24" s="94"/>
      <c r="G24" s="94"/>
      <c r="H24" s="95"/>
    </row>
    <row r="25" spans="1:8" x14ac:dyDescent="0.55000000000000004">
      <c r="A25" s="206"/>
      <c r="B25" s="174" t="str">
        <f>HYPERLINK("https://www.livemint.com/Money/psz7mP8iHBn0Vwsg8qxctI/DMart-IPO-subscribed-104-times-on-last-day.html","Other References")</f>
        <v>Other References</v>
      </c>
      <c r="C25" s="64"/>
      <c r="D25" s="64"/>
      <c r="E25" s="68" t="s">
        <v>249</v>
      </c>
      <c r="F25" s="94">
        <v>1.25</v>
      </c>
      <c r="G25" s="94">
        <v>106.66</v>
      </c>
      <c r="H25" s="95">
        <v>202.19</v>
      </c>
    </row>
    <row r="26" spans="1:8" x14ac:dyDescent="0.55000000000000004">
      <c r="C26" s="64"/>
      <c r="D26" s="64"/>
      <c r="E26" s="68" t="s">
        <v>248</v>
      </c>
      <c r="F26" s="94">
        <v>153.79</v>
      </c>
      <c r="G26" s="94">
        <v>166.37</v>
      </c>
      <c r="H26" s="95">
        <v>62.16</v>
      </c>
    </row>
    <row r="27" spans="1:8" x14ac:dyDescent="0.55000000000000004">
      <c r="E27" s="68" t="s">
        <v>247</v>
      </c>
      <c r="F27" s="94">
        <v>355.48</v>
      </c>
      <c r="G27" s="94">
        <v>337.12</v>
      </c>
      <c r="H27" s="95">
        <v>207.15</v>
      </c>
    </row>
    <row r="28" spans="1:8" ht="15.6" x14ac:dyDescent="0.6">
      <c r="A28" s="187" t="s">
        <v>381</v>
      </c>
      <c r="B28" s="187"/>
      <c r="E28" s="20" t="s">
        <v>265</v>
      </c>
      <c r="F28" s="94">
        <v>2.72</v>
      </c>
      <c r="G28" s="94">
        <v>301.06</v>
      </c>
      <c r="H28" s="95">
        <v>1201.18</v>
      </c>
    </row>
    <row r="29" spans="1:8" x14ac:dyDescent="0.55000000000000004">
      <c r="E29" s="20" t="s">
        <v>246</v>
      </c>
      <c r="F29" s="94">
        <v>528.36</v>
      </c>
      <c r="G29" s="94">
        <v>1128.49</v>
      </c>
      <c r="H29" s="95">
        <v>316.77</v>
      </c>
    </row>
    <row r="30" spans="1:8" ht="15.6" x14ac:dyDescent="0.6">
      <c r="A30" s="203" t="s">
        <v>70</v>
      </c>
      <c r="B30" s="174" t="str">
        <f>HYPERLINK("https://api.dmartindia.com/corporate/content/file/v1/3/RCQqEVQ0llY9Ibj2uNhXnEL11746270794/ASL%20-%20Financial%20Results%20for%20Q4%20&amp;%20Year%20FY%2025.pdf","Financials for the year ended Mar-2025")</f>
        <v>Financials for the year ended Mar-2025</v>
      </c>
      <c r="C30" s="16"/>
      <c r="E30" s="20" t="s">
        <v>245</v>
      </c>
      <c r="F30" s="94">
        <v>306.23</v>
      </c>
      <c r="G30" s="94">
        <v>235.02</v>
      </c>
      <c r="H30" s="95">
        <v>215.46</v>
      </c>
    </row>
    <row r="31" spans="1:8" x14ac:dyDescent="0.55000000000000004">
      <c r="A31" s="203"/>
      <c r="B31" s="175" t="str">
        <f>HYPERLINK("https://api.dmartindia.com/corporate/content/file/v1/3/lqtt2QCc5TGqV646gwdPo99G1714824173/ASL%20-%20Financial%20Results%20for%20Q4%20&amp;%20Year%20FY%2024.pdf","Financials for the year ended Mar-2024")</f>
        <v>Financials for the year ended Mar-2024</v>
      </c>
      <c r="E31" s="70" t="s">
        <v>205</v>
      </c>
      <c r="F31" s="115">
        <f>SUM(F23:F30)</f>
        <v>6392.1999999999989</v>
      </c>
      <c r="G31" s="115">
        <f>SUM(G23:G30)</f>
        <v>6202.0300000000007</v>
      </c>
      <c r="H31" s="116">
        <f>SUM(H23:H30)</f>
        <v>5448.39</v>
      </c>
    </row>
    <row r="32" spans="1:8" ht="15.6" x14ac:dyDescent="0.6">
      <c r="A32" s="203"/>
      <c r="B32" s="175" t="str">
        <f>HYPERLINK("https://api.dmartindia.com/corporate/content/file/v1/3/TidQwMpyttFzsDeIKY7lr1w91683975659/ASL%20-%20Financial%20Results%20for%20Q4%20&amp;%20Year%20FY%2023.pdf","Financials for the year ended Mar-2023")</f>
        <v>Financials for the year ended Mar-2023</v>
      </c>
      <c r="E32" s="65" t="s">
        <v>81</v>
      </c>
      <c r="F32" s="107">
        <f>F31+F21</f>
        <v>24320.289999999994</v>
      </c>
      <c r="G32" s="107">
        <f>G31+G21</f>
        <v>21177.200000000001</v>
      </c>
      <c r="H32" s="106">
        <f>H31+H21</f>
        <v>18106.290000000005</v>
      </c>
    </row>
    <row r="33" spans="1:8" x14ac:dyDescent="0.55000000000000004">
      <c r="A33" s="207" t="s">
        <v>46</v>
      </c>
      <c r="B33" s="174" t="str">
        <f>HYPERLINK("https://api.dmartindia.com/corporate/content/file/v1/3/RCQqEVQ0llY9Ibj2uNhXnEL11746270794/ASL%20-%20Financial%20Results%20for%20Q4%20&amp;%20Year%20FY%2025.pdf","Financials for the year ended Mar-2025")</f>
        <v>Financials for the year ended Mar-2025</v>
      </c>
      <c r="E33" s="71"/>
      <c r="F33" s="103"/>
      <c r="G33" s="103"/>
      <c r="H33" s="102"/>
    </row>
    <row r="34" spans="1:8" ht="15.6" x14ac:dyDescent="0.6">
      <c r="A34" s="208"/>
      <c r="B34" s="175" t="str">
        <f>HYPERLINK("https://api.dmartindia.com/corporate/content/file/v1/3/lqtt2QCc5TGqV646gwdPo99G1714824173/ASL%20-%20Financial%20Results%20for%20Q4%20&amp;%20Year%20FY%2024.pdf","Financials for the year ended Mar-2024")</f>
        <v>Financials for the year ended Mar-2024</v>
      </c>
      <c r="E34" s="65" t="s">
        <v>244</v>
      </c>
      <c r="F34" s="109"/>
      <c r="G34" s="109"/>
      <c r="H34" s="108"/>
    </row>
    <row r="35" spans="1:8" ht="15.6" x14ac:dyDescent="0.6">
      <c r="A35" s="209"/>
      <c r="B35" s="175" t="str">
        <f>HYPERLINK("https://api.dmartindia.com/corporate/content/file/v1/3/TidQwMpyttFzsDeIKY7lr1w91683975659/ASL%20-%20Financial%20Results%20for%20Q4%20&amp;%20Year%20FY%2023.pdf","Financials for the year ended Mar-2023")</f>
        <v>Financials for the year ended Mar-2023</v>
      </c>
      <c r="E35" s="65" t="s">
        <v>80</v>
      </c>
      <c r="F35" s="107"/>
      <c r="G35" s="107"/>
      <c r="H35" s="106"/>
    </row>
    <row r="36" spans="1:8" x14ac:dyDescent="0.55000000000000004">
      <c r="A36" s="202" t="s">
        <v>47</v>
      </c>
      <c r="B36" s="174" t="str">
        <f>HYPERLINK("https://api.dmartindia.com/corporate/content/file/v1/3/RCQqEVQ0llY9Ibj2uNhXnEL11746270794/ASL%20-%20Financial%20Results%20for%20Q4%20&amp;%20Year%20FY%2025.pdf","Financials for the year ended Mar-2025")</f>
        <v>Financials for the year ended Mar-2025</v>
      </c>
      <c r="E36" s="20" t="s">
        <v>243</v>
      </c>
      <c r="F36" s="94">
        <v>650.73</v>
      </c>
      <c r="G36" s="94">
        <v>650.73</v>
      </c>
      <c r="H36" s="95">
        <v>648.26</v>
      </c>
    </row>
    <row r="37" spans="1:8" x14ac:dyDescent="0.55000000000000004">
      <c r="A37" s="202"/>
      <c r="B37" s="175" t="str">
        <f>HYPERLINK("https://api.dmartindia.com/corporate/content/file/v1/3/lqtt2QCc5TGqV646gwdPo99G1714824173/ASL%20-%20Financial%20Results%20for%20Q4%20&amp;%20Year%20FY%2024.pdf","Financials for the year ended Mar-2024")</f>
        <v>Financials for the year ended Mar-2024</v>
      </c>
      <c r="E37" s="20" t="s">
        <v>242</v>
      </c>
      <c r="F37" s="94">
        <v>20777.02</v>
      </c>
      <c r="G37" s="94">
        <v>18047.09</v>
      </c>
      <c r="H37" s="95">
        <v>15430.44</v>
      </c>
    </row>
    <row r="38" spans="1:8" x14ac:dyDescent="0.55000000000000004">
      <c r="A38" s="202"/>
      <c r="B38" s="175" t="str">
        <f>HYPERLINK("https://api.dmartindia.com/corporate/content/file/v1/3/TidQwMpyttFzsDeIKY7lr1w91683975659/ASL%20-%20Financial%20Results%20for%20Q4%20&amp;%20Year%20FY%2023.pdf","Financials for the year ended Mar-2023")</f>
        <v>Financials for the year ended Mar-2023</v>
      </c>
      <c r="E38" s="104" t="s">
        <v>241</v>
      </c>
      <c r="F38" s="117">
        <f>SUM(F36:F37)</f>
        <v>21427.75</v>
      </c>
      <c r="G38" s="117">
        <f>SUM(G36:G37)</f>
        <v>18697.82</v>
      </c>
      <c r="H38" s="117">
        <f>SUM(H36:H37)</f>
        <v>16078.7</v>
      </c>
    </row>
    <row r="39" spans="1:8" x14ac:dyDescent="0.55000000000000004">
      <c r="A39" s="202" t="s">
        <v>48</v>
      </c>
      <c r="B39" s="175" t="str">
        <f>HYPERLINK("https://www.ccilindia.com/tenorwise-indicative-yields","Risk-free rate for 10Y on G-secs")</f>
        <v>Risk-free rate for 10Y on G-secs</v>
      </c>
      <c r="E39" s="20" t="s">
        <v>240</v>
      </c>
      <c r="F39" s="94">
        <v>-1.05</v>
      </c>
      <c r="G39" s="94">
        <v>-0.48</v>
      </c>
      <c r="H39" s="95">
        <v>0.08</v>
      </c>
    </row>
    <row r="40" spans="1:8" x14ac:dyDescent="0.55000000000000004">
      <c r="A40" s="202"/>
      <c r="B40" s="175" t="str">
        <f>HYPERLINK("https://finance.yahoo.com/quote/DMART.NS/key-statistics/","Key statistics from yfinance")</f>
        <v>Key statistics from yfinance</v>
      </c>
      <c r="E40" s="104" t="s">
        <v>79</v>
      </c>
      <c r="F40" s="117">
        <f>SUM(F38:F39)</f>
        <v>21426.7</v>
      </c>
      <c r="G40" s="117">
        <f>SUM(G38:G39)</f>
        <v>18697.34</v>
      </c>
      <c r="H40" s="117">
        <f>SUM(H38:H39)</f>
        <v>16078.78</v>
      </c>
    </row>
    <row r="41" spans="1:8" x14ac:dyDescent="0.55000000000000004">
      <c r="A41" s="202"/>
      <c r="B41" s="175" t="str">
        <f>HYPERLINK("https://www.icicidirect.com/stocks/overall-analysis/avenue-supermarts-ltd","For finding value of beta")</f>
        <v>For finding value of beta</v>
      </c>
      <c r="E41" s="110"/>
      <c r="F41" s="111"/>
      <c r="G41" s="111"/>
      <c r="H41" s="112"/>
    </row>
    <row r="42" spans="1:8" ht="15.6" x14ac:dyDescent="0.6">
      <c r="A42" s="202"/>
      <c r="B42" s="175" t="str">
        <f>HYPERLINK("https://pages.stern.nyu.edu/~adamodar/New_Home_Page/datafile/ctryprem.html","For finding equity risk premium value")</f>
        <v>For finding equity risk premium value</v>
      </c>
      <c r="E42" s="65" t="s">
        <v>78</v>
      </c>
      <c r="F42" s="107"/>
      <c r="G42" s="107"/>
      <c r="H42" s="106"/>
    </row>
    <row r="43" spans="1:8" x14ac:dyDescent="0.55000000000000004">
      <c r="E43" s="105" t="s">
        <v>236</v>
      </c>
      <c r="F43" s="94"/>
      <c r="G43" s="94"/>
      <c r="H43" s="95"/>
    </row>
    <row r="44" spans="1:8" x14ac:dyDescent="0.55000000000000004">
      <c r="E44" s="20" t="s">
        <v>235</v>
      </c>
      <c r="F44" s="94">
        <v>555.79</v>
      </c>
      <c r="G44" s="94">
        <v>399.24</v>
      </c>
      <c r="H44" s="95">
        <v>476.66</v>
      </c>
    </row>
    <row r="45" spans="1:8" x14ac:dyDescent="0.55000000000000004">
      <c r="E45" s="20" t="s">
        <v>239</v>
      </c>
      <c r="F45" s="94">
        <v>0.49</v>
      </c>
      <c r="G45" s="94">
        <v>0.37</v>
      </c>
      <c r="H45" s="95">
        <v>0.47</v>
      </c>
    </row>
    <row r="46" spans="1:8" x14ac:dyDescent="0.55000000000000004">
      <c r="E46" s="20" t="s">
        <v>238</v>
      </c>
      <c r="F46" s="94">
        <v>12.67</v>
      </c>
      <c r="G46" s="94">
        <v>9.18</v>
      </c>
      <c r="H46" s="95">
        <v>6.41</v>
      </c>
    </row>
    <row r="47" spans="1:8" x14ac:dyDescent="0.55000000000000004">
      <c r="E47" s="20" t="s">
        <v>237</v>
      </c>
      <c r="F47" s="94">
        <v>112.48</v>
      </c>
      <c r="G47" s="94">
        <v>91.93</v>
      </c>
      <c r="H47" s="95">
        <v>76.959999999999994</v>
      </c>
    </row>
    <row r="48" spans="1:8" x14ac:dyDescent="0.55000000000000004">
      <c r="E48" s="104" t="s">
        <v>218</v>
      </c>
      <c r="F48" s="117">
        <f>SUM(F44:F47)</f>
        <v>681.43</v>
      </c>
      <c r="G48" s="117">
        <f>SUM(G44:G47)</f>
        <v>500.72</v>
      </c>
      <c r="H48" s="118">
        <f>SUM(H44:H47)</f>
        <v>560.50000000000011</v>
      </c>
    </row>
    <row r="49" spans="5:8" x14ac:dyDescent="0.55000000000000004">
      <c r="E49" s="110"/>
      <c r="F49" s="111"/>
      <c r="G49" s="111"/>
      <c r="H49" s="112"/>
    </row>
    <row r="50" spans="5:8" ht="15.6" x14ac:dyDescent="0.6">
      <c r="E50" s="65" t="s">
        <v>77</v>
      </c>
      <c r="F50" s="107"/>
      <c r="G50" s="107"/>
      <c r="H50" s="106"/>
    </row>
    <row r="51" spans="5:8" x14ac:dyDescent="0.55000000000000004">
      <c r="E51" s="105" t="s">
        <v>236</v>
      </c>
      <c r="F51" s="94"/>
      <c r="G51" s="94"/>
      <c r="H51" s="95"/>
    </row>
    <row r="52" spans="5:8" x14ac:dyDescent="0.55000000000000004">
      <c r="E52" s="20" t="s">
        <v>235</v>
      </c>
      <c r="F52" s="94">
        <v>263.83</v>
      </c>
      <c r="G52" s="94">
        <v>192.92</v>
      </c>
      <c r="H52" s="95">
        <v>166.32</v>
      </c>
    </row>
    <row r="53" spans="5:8" x14ac:dyDescent="0.55000000000000004">
      <c r="E53" s="105" t="s">
        <v>234</v>
      </c>
      <c r="F53" s="94"/>
      <c r="G53" s="94"/>
      <c r="H53" s="95"/>
    </row>
    <row r="54" spans="5:8" x14ac:dyDescent="0.55000000000000004">
      <c r="E54" s="20" t="s">
        <v>233</v>
      </c>
      <c r="F54" s="94">
        <v>289.52999999999997</v>
      </c>
      <c r="G54" s="94">
        <v>230.6</v>
      </c>
      <c r="H54" s="95">
        <v>76.290000000000006</v>
      </c>
    </row>
    <row r="55" spans="5:8" x14ac:dyDescent="0.55000000000000004">
      <c r="E55" s="20" t="s">
        <v>232</v>
      </c>
      <c r="F55" s="94">
        <v>781.28</v>
      </c>
      <c r="G55" s="94">
        <v>754.21</v>
      </c>
      <c r="H55" s="95">
        <v>677.5</v>
      </c>
    </row>
    <row r="56" spans="5:8" x14ac:dyDescent="0.55000000000000004">
      <c r="E56" s="20" t="s">
        <v>231</v>
      </c>
      <c r="F56" s="94">
        <v>448.64</v>
      </c>
      <c r="G56" s="94">
        <v>389.85</v>
      </c>
      <c r="H56" s="95">
        <v>289.45999999999998</v>
      </c>
    </row>
    <row r="57" spans="5:8" x14ac:dyDescent="0.55000000000000004">
      <c r="E57" s="20" t="s">
        <v>230</v>
      </c>
      <c r="F57" s="94">
        <v>138.62</v>
      </c>
      <c r="G57" s="94">
        <v>95.74</v>
      </c>
      <c r="H57" s="95">
        <v>121.18</v>
      </c>
    </row>
    <row r="58" spans="5:8" x14ac:dyDescent="0.55000000000000004">
      <c r="E58" s="20" t="s">
        <v>229</v>
      </c>
      <c r="F58" s="94">
        <v>49.14</v>
      </c>
      <c r="G58" s="94">
        <v>61.04</v>
      </c>
      <c r="H58" s="95">
        <v>50.87</v>
      </c>
    </row>
    <row r="59" spans="5:8" x14ac:dyDescent="0.55000000000000004">
      <c r="E59" s="20" t="s">
        <v>228</v>
      </c>
      <c r="F59" s="94">
        <v>241.12</v>
      </c>
      <c r="G59" s="94">
        <v>254.78</v>
      </c>
      <c r="H59" s="95">
        <v>85.39</v>
      </c>
    </row>
    <row r="60" spans="5:8" x14ac:dyDescent="0.55000000000000004">
      <c r="E60" s="104" t="s">
        <v>206</v>
      </c>
      <c r="F60" s="117">
        <f>SUM(F52:F59)</f>
        <v>2212.16</v>
      </c>
      <c r="G60" s="117">
        <f>SUM(G52:G59)</f>
        <v>1979.1399999999999</v>
      </c>
      <c r="H60" s="118">
        <f>SUM(H52:H59)</f>
        <v>1467.01</v>
      </c>
    </row>
    <row r="61" spans="5:8" x14ac:dyDescent="0.55000000000000004">
      <c r="E61" s="71"/>
      <c r="F61" s="103"/>
      <c r="G61" s="103"/>
      <c r="H61" s="102"/>
    </row>
    <row r="62" spans="5:8" ht="14.7" thickBot="1" x14ac:dyDescent="0.6">
      <c r="E62" s="101" t="s">
        <v>227</v>
      </c>
      <c r="F62" s="119">
        <f>F60+F48+F40</f>
        <v>24320.29</v>
      </c>
      <c r="G62" s="119">
        <f>G60+G48+G40</f>
        <v>21177.200000000001</v>
      </c>
      <c r="H62" s="120">
        <f>H60+H48+H40</f>
        <v>18106.29</v>
      </c>
    </row>
  </sheetData>
  <mergeCells count="16">
    <mergeCell ref="A39:A42"/>
    <mergeCell ref="A30:A32"/>
    <mergeCell ref="A9:A10"/>
    <mergeCell ref="A16:B16"/>
    <mergeCell ref="A28:B28"/>
    <mergeCell ref="A18:A25"/>
    <mergeCell ref="A33:A35"/>
    <mergeCell ref="A11:A14"/>
    <mergeCell ref="A36:A38"/>
    <mergeCell ref="E4:E5"/>
    <mergeCell ref="F4:F5"/>
    <mergeCell ref="G4:G5"/>
    <mergeCell ref="H4:H5"/>
    <mergeCell ref="A1:C1"/>
    <mergeCell ref="A3:B3"/>
    <mergeCell ref="A5:A8"/>
  </mergeCells>
  <hyperlinks>
    <hyperlink ref="B18" r:id="rId1" display="https://www.sebi.gov.in/filings/public-issues/mar-2017/avenue-supermarts-red-herring-prospectus_34310.html" xr:uid="{34952E4D-CD89-4B0E-8527-4CB92E895BC2}"/>
    <hyperlink ref="B19" r:id="rId2" display="https://www.moneycontrol.com/news/business/ipo/bumper-listing-d-mart-operator-avenue-supermarts-shares-debut-at-rs-610-up-104-2243761.html" xr:uid="{8408F316-5C60-4EBF-A8D7-2EA135C3DDEC}"/>
    <hyperlink ref="B25" r:id="rId3" display="https://www.livemint.com/Money/psz7mP8iHBn0Vwsg8qxctI/DMart-IPO-subscribed-104-times-on-last-day.html" xr:uid="{07079C33-49D0-47ED-80E8-EE4F53753DD4}"/>
    <hyperlink ref="B20" r:id="rId4" display="https://www.forbesindia.com/article/special/dmart-ipo-gets-a-stellar-response%3B-issue-oversubscribed-104.44-times/46279/1" xr:uid="{E569DD48-34C6-4FB1-92B2-02E7131977EF}"/>
    <hyperlink ref="B24" r:id="rId5" display="https://jainmatrix.com/2017/03/07/avenue-supermarts-ipo/" xr:uid="{DC89C967-C9CD-4FEF-94D0-DD47B8185C7C}"/>
    <hyperlink ref="B22" r:id="rId6" location=":~:text=Promoters%20holding%20remains%20unchanged%20at,DII" display="https://trendlyne.com/equity/share-holding/53208/DMART/latest/avenue-supermarts-ltd/#:~:text=Promoters%20holding%20remains%20unchanged%20at,DII" xr:uid="{1952D05C-F609-4AB4-9A32-BBCD93FBEB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Group Details_FM009</vt:lpstr>
      <vt:lpstr>Navigation Table</vt:lpstr>
      <vt:lpstr>Executive Summary</vt:lpstr>
      <vt:lpstr>Part 1 - Corporate Governance</vt:lpstr>
      <vt:lpstr>Part 2 - IPO Analysis</vt:lpstr>
      <vt:lpstr>Part 3 - Financial Management</vt:lpstr>
      <vt:lpstr>All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Kabir Jain</dc:creator>
  <cp:lastModifiedBy>Kabir Jain</cp:lastModifiedBy>
  <dcterms:created xsi:type="dcterms:W3CDTF">2025-11-19T22:32:25Z</dcterms:created>
  <dcterms:modified xsi:type="dcterms:W3CDTF">2026-01-26T22:14:46Z</dcterms:modified>
</cp:coreProperties>
</file>